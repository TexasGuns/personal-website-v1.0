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Setup &amp; Recap" sheetId="1" r:id="rId4"/>
    <sheet state="visible" name="Landscape Intallation" sheetId="2" r:id="rId5"/>
    <sheet state="visible" name="Lawn Installation" sheetId="3" r:id="rId6"/>
    <sheet state="visible" name="2-C. Production costs" sheetId="4" r:id="rId7"/>
    <sheet state="visible" name="3. GC costs" sheetId="5" r:id="rId8"/>
  </sheets>
  <definedNames>
    <definedName name="PRICE">'1. Setup &amp; Recap'!$I$47</definedName>
    <definedName name="CAW">'1. Setup &amp; Recap'!$G$4</definedName>
  </definedNames>
  <calcPr/>
  <extLst>
    <ext uri="GoogleSheetsCustomDataVersion2">
      <go:sheetsCustomData xmlns:go="http://customooxmlschemas.google.com/" r:id="rId9" roundtripDataChecksum="HueEPwirf7f84hxqDKGBfnwXDrbaI1kv+YqslEtv6WY="/>
    </ext>
  </extLst>
</workbook>
</file>

<file path=xl/sharedStrings.xml><?xml version="1.0" encoding="utf-8"?>
<sst xmlns="http://schemas.openxmlformats.org/spreadsheetml/2006/main" count="426" uniqueCount="221">
  <si>
    <t>Scenario cost data</t>
  </si>
  <si>
    <t>$ or %</t>
  </si>
  <si>
    <t>Remarks</t>
  </si>
  <si>
    <t>Instructions:</t>
  </si>
  <si>
    <t>1. Fill in yellow cells with your company information and project information below.</t>
  </si>
  <si>
    <t>Crew size (# people)</t>
  </si>
  <si>
    <t>2. Do not write over red cells as they contain formulas.</t>
  </si>
  <si>
    <t>Crew average wage (CAW)</t>
  </si>
  <si>
    <t>3. Change the descriptions as necessary.</t>
  </si>
  <si>
    <t>Man-hours per man per day</t>
  </si>
  <si>
    <t>4. Be sure to save and back up your worksheet.</t>
  </si>
  <si>
    <t>Overtime factor (OTF)</t>
  </si>
  <si>
    <t>40 hours per week</t>
  </si>
  <si>
    <t>5. Go to sheet 2-A on the tab at the bottom of this page to input your production information.</t>
  </si>
  <si>
    <t>Risk factor (RF)</t>
  </si>
  <si>
    <t>6. Go to sheet 3 on the tab at the bottom of this page to input your general conditions information.</t>
  </si>
  <si>
    <t>Crew average wage w/OTF &amp; RF</t>
  </si>
  <si>
    <t>Labor burden</t>
  </si>
  <si>
    <t>Date:</t>
  </si>
  <si>
    <t>Sales tax</t>
  </si>
  <si>
    <t>Project:</t>
  </si>
  <si>
    <t>G&amp;A overhead per hour (OPH)</t>
  </si>
  <si>
    <t>Location:</t>
  </si>
  <si>
    <t>Net profit margin</t>
  </si>
  <si>
    <t>P.O.C./G.C.:</t>
  </si>
  <si>
    <t>Crew truck with trailer</t>
  </si>
  <si>
    <t>Phone / Fax:</t>
  </si>
  <si>
    <t>Curb time man-hours</t>
  </si>
  <si>
    <t>Due Date:</t>
  </si>
  <si>
    <t>Total Days to complete Job</t>
  </si>
  <si>
    <t>Number of units</t>
  </si>
  <si>
    <t>LS</t>
  </si>
  <si>
    <t>Estimator:</t>
  </si>
  <si>
    <t>Hayden Lutz, Rob McKenna, John Dickinson</t>
  </si>
  <si>
    <t>Scenario</t>
  </si>
  <si>
    <t>Materials</t>
  </si>
  <si>
    <t>Labor</t>
  </si>
  <si>
    <t>Equipment</t>
  </si>
  <si>
    <t>Subcontractors</t>
  </si>
  <si>
    <t>Subtotals</t>
  </si>
  <si>
    <t>I. Production or "Curb" time costs</t>
  </si>
  <si>
    <t>II. General conditions (off-site or non-curb-time costs)</t>
  </si>
  <si>
    <t>III. Margins &amp; markups</t>
  </si>
  <si>
    <t>A.Sales tax</t>
  </si>
  <si>
    <t>B.Labor burden</t>
  </si>
  <si>
    <t>Total direct costs (TDC)</t>
  </si>
  <si>
    <t>TDC</t>
  </si>
  <si>
    <t>C. G&amp;A overhead costs</t>
  </si>
  <si>
    <t>(Number of man-hours x OPH)</t>
  </si>
  <si>
    <t>=</t>
  </si>
  <si>
    <t xml:space="preserve">     BEP (TDC + G&amp;A overhead)</t>
  </si>
  <si>
    <t>BEP</t>
  </si>
  <si>
    <t>D. Contingency factor (if desired)</t>
  </si>
  <si>
    <t>E. Net profit margin</t>
  </si>
  <si>
    <t xml:space="preserve">F. Total price </t>
  </si>
  <si>
    <t>-</t>
  </si>
  <si>
    <t>IV. Scenario analysis</t>
  </si>
  <si>
    <r>
      <rPr>
        <rFont val="Times New Roman"/>
        <color theme="1"/>
        <sz val="12.0"/>
      </rPr>
      <t xml:space="preserve">A. Unit price (Total price </t>
    </r>
    <r>
      <rPr>
        <rFont val="Arial"/>
        <color theme="1"/>
        <sz val="12.0"/>
      </rPr>
      <t>÷</t>
    </r>
    <r>
      <rPr>
        <rFont val="Times New Roman"/>
        <color theme="1"/>
        <sz val="12.0"/>
      </rPr>
      <t xml:space="preserve"> units)</t>
    </r>
  </si>
  <si>
    <t>divided by</t>
  </si>
  <si>
    <t xml:space="preserve">     Curb-time rate</t>
  </si>
  <si>
    <t>B. Sales or revenue per man-hour (Total price  ÷  all man-hours)</t>
  </si>
  <si>
    <t xml:space="preserve">     Portal-to-portal rate</t>
  </si>
  <si>
    <r>
      <rPr>
        <rFont val="Times New Roman"/>
        <color theme="1"/>
        <sz val="12.0"/>
      </rPr>
      <t xml:space="preserve">C. Gross profit margin ((G&amp;A overhead + Net profit)  </t>
    </r>
    <r>
      <rPr>
        <rFont val="Arial"/>
        <color theme="1"/>
        <sz val="12.0"/>
      </rPr>
      <t>÷</t>
    </r>
    <r>
      <rPr>
        <rFont val="Times New Roman"/>
        <color theme="1"/>
        <sz val="12.0"/>
      </rPr>
      <t xml:space="preserve">  Total price)</t>
    </r>
  </si>
  <si>
    <t>÷</t>
  </si>
  <si>
    <t xml:space="preserve">     GPM</t>
  </si>
  <si>
    <t>V.  Ratio and per hour analysis:       $</t>
  </si>
  <si>
    <t>%</t>
  </si>
  <si>
    <t xml:space="preserve">  $/RATIO</t>
  </si>
  <si>
    <t xml:space="preserve">  A. SPH:</t>
  </si>
  <si>
    <t>J. Mat/Lab:</t>
  </si>
  <si>
    <t xml:space="preserve">  B. DCPH:</t>
  </si>
  <si>
    <t>K. MPH:</t>
  </si>
  <si>
    <t xml:space="preserve">  C. OPH:</t>
  </si>
  <si>
    <t>L. Eq/Lab:</t>
  </si>
  <si>
    <t>:1</t>
  </si>
  <si>
    <t xml:space="preserve">  D. PPH:</t>
  </si>
  <si>
    <t>M. EqPH:</t>
  </si>
  <si>
    <t xml:space="preserve">  E. BEP:</t>
  </si>
  <si>
    <t>N. GC:</t>
  </si>
  <si>
    <t xml:space="preserve">  F. G&amp;A Ovhd:</t>
  </si>
  <si>
    <t>O. GCPH:</t>
  </si>
  <si>
    <t xml:space="preserve">  G. NPM:</t>
  </si>
  <si>
    <t>P. GCH/TH:</t>
  </si>
  <si>
    <t xml:space="preserve">  H. GPM:</t>
  </si>
  <si>
    <t>Q. Material Factor:</t>
  </si>
  <si>
    <t xml:space="preserve"> x  Material Cost</t>
  </si>
  <si>
    <t xml:space="preserve">  I. GPMPH:</t>
  </si>
  <si>
    <t>R. Unit Price:</t>
  </si>
  <si>
    <t>VI. MORS percentage markup on labor + burden (assuming a 10, 25 &amp; 5% markup on mat'l, equip. &amp; subs)</t>
  </si>
  <si>
    <t>CAW Loaded</t>
  </si>
  <si>
    <t>Crew Size:</t>
  </si>
  <si>
    <t>Hours/Day:</t>
  </si>
  <si>
    <t>CAW:</t>
  </si>
  <si>
    <t>Phase 1</t>
  </si>
  <si>
    <t>Quantity</t>
  </si>
  <si>
    <t>Unit</t>
  </si>
  <si>
    <t>Type Work:</t>
  </si>
  <si>
    <t>Risk Factor</t>
  </si>
  <si>
    <t>Total Labor Hrs</t>
  </si>
  <si>
    <t>Hrs L</t>
  </si>
  <si>
    <t>OT Factor</t>
  </si>
  <si>
    <t>Column Calcualtions</t>
  </si>
  <si>
    <t>#</t>
  </si>
  <si>
    <t>Description</t>
  </si>
  <si>
    <t>Unit Cost</t>
  </si>
  <si>
    <t>Material</t>
  </si>
  <si>
    <t>Equip</t>
  </si>
  <si>
    <t>Subs</t>
  </si>
  <si>
    <t>TOTALS</t>
  </si>
  <si>
    <t>Flagstone Stepping Stones</t>
  </si>
  <si>
    <t>Each</t>
  </si>
  <si>
    <t>Tumbled Paving Stones (Patio)</t>
  </si>
  <si>
    <t>Sq. Ft.</t>
  </si>
  <si>
    <t>Paving Stone Border</t>
  </si>
  <si>
    <t>Lin. Ft.</t>
  </si>
  <si>
    <t>Flagstone Porch (Overlay)</t>
  </si>
  <si>
    <t>Exposed Aggregate Concrete Mix</t>
  </si>
  <si>
    <t>Cu. Yd.</t>
  </si>
  <si>
    <t>Armour Stone Outcropping</t>
  </si>
  <si>
    <t>Tons</t>
  </si>
  <si>
    <t>Armour Stone Boulders (Deco)</t>
  </si>
  <si>
    <t>Natural Stone Garden Wall</t>
  </si>
  <si>
    <t>CELTIK Stone Steps</t>
  </si>
  <si>
    <t>River Stone (Decorative)</t>
  </si>
  <si>
    <t>Wood Landing &amp; Steps Material</t>
  </si>
  <si>
    <t>Black Vinyl Chainlink Fence</t>
  </si>
  <si>
    <t>Wood Fence (Gate Section)</t>
  </si>
  <si>
    <t>Road Base (Crushed Concrete)</t>
  </si>
  <si>
    <t>Bedding Sand (Concrete Sand)</t>
  </si>
  <si>
    <t>Polymeric Sand (Joints)</t>
  </si>
  <si>
    <t>Bags</t>
  </si>
  <si>
    <t>Snap-Edge Paver Restraints</t>
  </si>
  <si>
    <t>Rebar (#3) &amp; Wire Mesh</t>
  </si>
  <si>
    <t>Sticks</t>
  </si>
  <si>
    <t>Drainage Rock (#57 Stone)</t>
  </si>
  <si>
    <t>Marles Doublefile Viburnum</t>
  </si>
  <si>
    <t>Dwarf Japanese Garden Juniper 40cm</t>
  </si>
  <si>
    <t>Old Gold Juniper 40cm</t>
  </si>
  <si>
    <t>Annabelle Hydrangea 2 GAL</t>
  </si>
  <si>
    <t>Fairview Dwarf Yew 40cm</t>
  </si>
  <si>
    <t>Anthony Waterer Spirea 50cm</t>
  </si>
  <si>
    <t>Canadale Gold Euonymus 40cm</t>
  </si>
  <si>
    <t>Hughes Juniper 40cm</t>
  </si>
  <si>
    <t>Green Gem Boxwood 30cm</t>
  </si>
  <si>
    <t>Gold Mound Spirea 40cm</t>
  </si>
  <si>
    <t>Early Cotoneaster 40cm</t>
  </si>
  <si>
    <t>Emerald Gaiety Euonymus 40cm</t>
  </si>
  <si>
    <t>Golden Variegated Dogwood 50cm</t>
  </si>
  <si>
    <t>Calgary Carpet Juniper 40cm</t>
  </si>
  <si>
    <t>Pee Gee Hydrangea 50cm</t>
  </si>
  <si>
    <t>Purple Smoke Bush 50cm</t>
  </si>
  <si>
    <t>Snowmound Spirea 50cm</t>
  </si>
  <si>
    <t>Golden Mockorange 50cm</t>
  </si>
  <si>
    <t>Blue Chip Juniper 40cm</t>
  </si>
  <si>
    <t>Red Jade Weeping Crabapple 45mm</t>
  </si>
  <si>
    <t>Dr. Merrill Star Magnolia 175cm</t>
  </si>
  <si>
    <t>Shubert Chokecherry 50mm</t>
  </si>
  <si>
    <t>Emerald Pyramidal Cedar 150cm</t>
  </si>
  <si>
    <t>Fraser Fir 200cm</t>
  </si>
  <si>
    <t>Serviceberry Clump 175cm</t>
  </si>
  <si>
    <t>Chanticleer Flowering Pear 50mm</t>
  </si>
  <si>
    <t>Mulch (50lbs bag)</t>
  </si>
  <si>
    <t>Flagstone Stepping Stones (Excavate &amp; Set)</t>
  </si>
  <si>
    <t>Tumbled Pavers (Screed, Lay, Cut, Compact)</t>
  </si>
  <si>
    <t>Paver Border (Soldier Course - Cutting/Setting)</t>
  </si>
  <si>
    <t>Flagstone Porch (Mortar Overlay Installation)</t>
  </si>
  <si>
    <t>Exposed Aggregate Concrete (Form, Pour, Wash)**</t>
  </si>
  <si>
    <t>Armour Stone Outcropping (Machine Set***)</t>
  </si>
  <si>
    <t>Armour Stone Boulders (Placement)</t>
  </si>
  <si>
    <t>Natural Stone Garden Wall (Stacking)</t>
  </si>
  <si>
    <t>CELTIK Stone Steps (Base Prep &amp; Set)</t>
  </si>
  <si>
    <t>River Stone (Spreading)</t>
  </si>
  <si>
    <t>Wood Landing &amp; Steps (Carpentry/Assembly)</t>
  </si>
  <si>
    <t>Black Vinyl Chainlink Fence (Auger &amp; Install)</t>
  </si>
  <si>
    <t>Wood Fence Gate (Post Set &amp; Hang)</t>
  </si>
  <si>
    <t>General Excavation &amp; Base Install (30 Tons)</t>
  </si>
  <si>
    <t>Shrub Installation (Excavate Plant Backfill)</t>
  </si>
  <si>
    <t>Tree Installation (Excavate Plant Stake)</t>
  </si>
  <si>
    <t>Mulch installation</t>
  </si>
  <si>
    <t>Skid Steer Loader</t>
  </si>
  <si>
    <t>HR</t>
  </si>
  <si>
    <t>Plate Compactor</t>
  </si>
  <si>
    <t>Masonry/Demo Saw</t>
  </si>
  <si>
    <t>Skid Steer / Mini-Ex</t>
  </si>
  <si>
    <t>Concrete Mixer</t>
  </si>
  <si>
    <t>Mini Excavator + Auger</t>
  </si>
  <si>
    <t>Delivery Truck / Trailer</t>
  </si>
  <si>
    <t>SUBCONTRACTORS</t>
  </si>
  <si>
    <t>Pool Installation</t>
  </si>
  <si>
    <t>Job</t>
  </si>
  <si>
    <t>Paving Installation</t>
  </si>
  <si>
    <t>Decking Installation</t>
  </si>
  <si>
    <t>Palisades Zoysia Sod (450 sq. ft. per pallet)</t>
  </si>
  <si>
    <t>Pallet</t>
  </si>
  <si>
    <t>Delivery Fee (Flat Rate - Sod Farm)</t>
  </si>
  <si>
    <t>Bulk Garden Mix / Premium Topsoil</t>
  </si>
  <si>
    <t>CY</t>
  </si>
  <si>
    <t>Delivery Fee (Bulk Soil Dump Truck)</t>
  </si>
  <si>
    <t>Starter Fertilizer (High Phosphorus)</t>
  </si>
  <si>
    <t>Bag</t>
  </si>
  <si>
    <t>Spread Topsoil (Wheelbarrow)</t>
  </si>
  <si>
    <t>Fine Grading (Hand Rake)</t>
  </si>
  <si>
    <t>Lay Sod (St. Aug/Zoysia)</t>
  </si>
  <si>
    <t>Fertilizer Application (Rotary)</t>
  </si>
  <si>
    <t>Handtools</t>
  </si>
  <si>
    <t>EA</t>
  </si>
  <si>
    <t xml:space="preserve"> </t>
  </si>
  <si>
    <t>Phase 2</t>
  </si>
  <si>
    <t>General conditions</t>
  </si>
  <si>
    <t>hr/day</t>
  </si>
  <si>
    <t>Superintendent (1 hour per day)</t>
  </si>
  <si>
    <t>Superintendent Truck</t>
  </si>
  <si>
    <t>Hrs</t>
  </si>
  <si>
    <t>Foreman admin time (1 Hr / Day)</t>
  </si>
  <si>
    <t>Crew Truck (8 hrs/day)</t>
  </si>
  <si>
    <t>Drive Time (1 hr/day / man)</t>
  </si>
  <si>
    <t>Load / Unload Time (1 hr/day/man)</t>
  </si>
  <si>
    <t>Dump Fees ($40 per trip)</t>
  </si>
  <si>
    <t>N/A</t>
  </si>
  <si>
    <t>Warranty Labor</t>
  </si>
  <si>
    <t>Warranty Equipment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</si>
</sst>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_);_(* \(#,##0.0\);_(* &quot;-&quot;??_);_(@_)"/>
    <numFmt numFmtId="165" formatCode="&quot;$&quot;#,##0.00_);\(&quot;$&quot;#,##0.00\)"/>
    <numFmt numFmtId="166" formatCode="_(&quot;$&quot;* #,##0.00_);_(&quot;$&quot;* \(#,##0.00\);_(&quot;$&quot;* &quot;-&quot;??_);_(@_)"/>
    <numFmt numFmtId="167" formatCode="0.0%"/>
    <numFmt numFmtId="168" formatCode="_(* #,##0_);_(* \(#,##0\);_(* &quot;-&quot;??_);_(@_)"/>
    <numFmt numFmtId="169" formatCode="_(&quot;$&quot;* #,##0_);_(&quot;$&quot;* \(#,##0\);_(&quot;$&quot;* &quot;-&quot;??_);_(@_)"/>
    <numFmt numFmtId="170" formatCode="#,##0.0_);\(#,##0.0\)"/>
    <numFmt numFmtId="171" formatCode="0.0"/>
    <numFmt numFmtId="172" formatCode="&quot;$&quot;#,##0_);\(&quot;$&quot;#,##0\)"/>
    <numFmt numFmtId="173" formatCode="0.00_)"/>
    <numFmt numFmtId="174" formatCode="_(* #,##0.00_);_(* \(#,##0.00\);_(* &quot;-&quot;??_);_(@_)"/>
    <numFmt numFmtId="175" formatCode="mm/dd/yy"/>
    <numFmt numFmtId="176" formatCode="&quot;$&quot;#,##0.00"/>
  </numFmts>
  <fonts count="31">
    <font>
      <sz val="10.0"/>
      <color rgb="FF000000"/>
      <name val="Arial"/>
      <scheme val="minor"/>
    </font>
    <font>
      <b/>
      <u/>
      <sz val="14.0"/>
      <color theme="1"/>
      <name val="Times New Roman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i/>
      <sz val="14.0"/>
      <color rgb="FFFF0000"/>
      <name val="Arial"/>
    </font>
    <font>
      <sz val="12.0"/>
      <color theme="1"/>
      <name val="Arial"/>
    </font>
    <font>
      <sz val="12.0"/>
      <color theme="1"/>
      <name val="Times New Roman"/>
    </font>
    <font>
      <sz val="10.0"/>
      <color theme="1"/>
      <name val="Times New Roman"/>
    </font>
    <font>
      <b/>
      <sz val="12.0"/>
      <color theme="1"/>
      <name val="Arial"/>
    </font>
    <font>
      <sz val="10.0"/>
      <color theme="1"/>
      <name val="Arial"/>
    </font>
    <font>
      <b/>
      <sz val="12.0"/>
      <color theme="1"/>
      <name val="Times New Roman"/>
    </font>
    <font>
      <u/>
      <sz val="12.0"/>
      <color theme="1"/>
      <name val="Times New Roman"/>
    </font>
    <font>
      <b/>
      <sz val="10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sz val="12.0"/>
      <color theme="1"/>
      <name val="Courier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2.0"/>
      <color theme="1"/>
      <name val="Times New Roman"/>
    </font>
    <font>
      <u/>
      <sz val="10.0"/>
      <color theme="1"/>
      <name val="Times New Roman"/>
    </font>
    <font>
      <u/>
      <sz val="10.0"/>
      <color theme="1"/>
      <name val="Times New Roman"/>
    </font>
    <font>
      <b/>
      <sz val="14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9">
    <border/>
    <border>
      <left/>
      <right/>
      <top/>
      <bottom/>
    </border>
    <border>
      <left/>
      <right/>
      <top/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1" fillId="2" fontId="5" numFmtId="0" xfId="0" applyBorder="1" applyFill="1" applyFont="1"/>
    <xf borderId="0" fillId="0" fontId="6" numFmtId="0" xfId="0" applyFont="1"/>
    <xf borderId="1" fillId="2" fontId="6" numFmtId="164" xfId="0" applyBorder="1" applyFont="1" applyNumberFormat="1"/>
    <xf borderId="1" fillId="2" fontId="6" numFmtId="0" xfId="0" applyBorder="1" applyFont="1"/>
    <xf borderId="1" fillId="3" fontId="5" numFmtId="0" xfId="0" applyBorder="1" applyFill="1" applyFont="1"/>
    <xf borderId="0" fillId="0" fontId="6" numFmtId="0" xfId="0" applyAlignment="1" applyFont="1">
      <alignment horizontal="left"/>
    </xf>
    <xf borderId="0" fillId="0" fontId="6" numFmtId="165" xfId="0" applyFont="1" applyNumberFormat="1"/>
    <xf borderId="1" fillId="2" fontId="6" numFmtId="166" xfId="0" applyBorder="1" applyFont="1" applyNumberFormat="1"/>
    <xf borderId="0" fillId="0" fontId="7" numFmtId="0" xfId="0" applyFont="1"/>
    <xf borderId="0" fillId="0" fontId="5" numFmtId="0" xfId="0" applyFont="1"/>
    <xf borderId="0" fillId="0" fontId="6" numFmtId="10" xfId="0" applyFont="1" applyNumberFormat="1"/>
    <xf borderId="0" fillId="0" fontId="6" numFmtId="0" xfId="0" applyAlignment="1" applyFont="1">
      <alignment horizontal="center"/>
    </xf>
    <xf borderId="1" fillId="2" fontId="6" numFmtId="167" xfId="0" applyBorder="1" applyFont="1" applyNumberFormat="1"/>
    <xf borderId="1" fillId="2" fontId="6" numFmtId="0" xfId="0" applyAlignment="1" applyBorder="1" applyFont="1">
      <alignment horizontal="left"/>
    </xf>
    <xf borderId="1" fillId="3" fontId="6" numFmtId="166" xfId="0" applyBorder="1" applyFont="1" applyNumberFormat="1"/>
    <xf borderId="0" fillId="0" fontId="8" numFmtId="0" xfId="0" applyFont="1"/>
    <xf borderId="1" fillId="2" fontId="9" numFmtId="0" xfId="0" applyBorder="1" applyFont="1"/>
    <xf borderId="1" fillId="2" fontId="6" numFmtId="167" xfId="0" applyAlignment="1" applyBorder="1" applyFont="1" applyNumberFormat="1">
      <alignment horizontal="right"/>
    </xf>
    <xf borderId="1" fillId="3" fontId="6" numFmtId="164" xfId="0" applyAlignment="1" applyBorder="1" applyFont="1" applyNumberFormat="1">
      <alignment horizontal="right"/>
    </xf>
    <xf borderId="1" fillId="2" fontId="6" numFmtId="168" xfId="0" applyAlignment="1" applyBorder="1" applyFont="1" applyNumberFormat="1">
      <alignment horizontal="right"/>
    </xf>
    <xf borderId="0" fillId="0" fontId="6" numFmtId="0" xfId="0" applyAlignment="1" applyFont="1">
      <alignment horizontal="right"/>
    </xf>
    <xf borderId="0" fillId="0" fontId="10" numFmtId="0" xfId="0" applyAlignment="1" applyFont="1">
      <alignment horizontal="left"/>
    </xf>
    <xf borderId="0" fillId="0" fontId="11" numFmtId="166" xfId="0" applyFont="1" applyNumberFormat="1"/>
    <xf borderId="0" fillId="0" fontId="6" numFmtId="166" xfId="0" applyAlignment="1" applyFont="1" applyNumberFormat="1">
      <alignment horizontal="left"/>
    </xf>
    <xf borderId="0" fillId="0" fontId="6" numFmtId="166" xfId="0" applyFont="1" applyNumberFormat="1"/>
    <xf borderId="0" fillId="0" fontId="6" numFmtId="37" xfId="0" applyFont="1" applyNumberFormat="1"/>
    <xf borderId="0" fillId="0" fontId="12" numFmtId="169" xfId="0" applyFont="1" applyNumberFormat="1"/>
    <xf borderId="0" fillId="0" fontId="6" numFmtId="169" xfId="0" applyFont="1" applyNumberFormat="1"/>
    <xf borderId="0" fillId="0" fontId="6" numFmtId="170" xfId="0" applyFont="1" applyNumberFormat="1"/>
    <xf borderId="0" fillId="0" fontId="6" numFmtId="171" xfId="0" applyFont="1" applyNumberFormat="1"/>
    <xf borderId="0" fillId="0" fontId="13" numFmtId="37" xfId="0" applyAlignment="1" applyFont="1" applyNumberFormat="1">
      <alignment horizontal="center"/>
    </xf>
    <xf borderId="0" fillId="0" fontId="14" numFmtId="37" xfId="0" applyFont="1" applyNumberFormat="1"/>
    <xf borderId="0" fillId="0" fontId="15" numFmtId="169" xfId="0" applyAlignment="1" applyFont="1" applyNumberFormat="1">
      <alignment horizontal="center"/>
    </xf>
    <xf borderId="0" fillId="0" fontId="16" numFmtId="169" xfId="0" applyFont="1" applyNumberFormat="1"/>
    <xf borderId="0" fillId="0" fontId="10" numFmtId="169" xfId="0" applyFont="1" applyNumberFormat="1"/>
    <xf borderId="0" fillId="0" fontId="10" numFmtId="166" xfId="0" applyFont="1" applyNumberFormat="1"/>
    <xf borderId="0" fillId="0" fontId="10" numFmtId="0" xfId="0" applyFont="1"/>
    <xf borderId="0" fillId="0" fontId="17" numFmtId="0" xfId="0" applyFont="1"/>
    <xf borderId="0" fillId="0" fontId="6" numFmtId="169" xfId="0" applyAlignment="1" applyFont="1" applyNumberFormat="1">
      <alignment horizontal="center"/>
    </xf>
    <xf borderId="0" fillId="0" fontId="6" numFmtId="166" xfId="0" applyAlignment="1" applyFont="1" applyNumberFormat="1">
      <alignment horizontal="center"/>
    </xf>
    <xf borderId="0" fillId="0" fontId="7" numFmtId="166" xfId="0" applyFont="1" applyNumberFormat="1"/>
    <xf borderId="0" fillId="0" fontId="10" numFmtId="37" xfId="0" applyFont="1" applyNumberFormat="1"/>
    <xf borderId="0" fillId="0" fontId="10" numFmtId="0" xfId="0" applyAlignment="1" applyFont="1">
      <alignment horizontal="right"/>
    </xf>
    <xf borderId="0" fillId="0" fontId="6" numFmtId="37" xfId="0" applyAlignment="1" applyFont="1" applyNumberFormat="1">
      <alignment horizontal="left"/>
    </xf>
    <xf borderId="0" fillId="0" fontId="6" numFmtId="37" xfId="0" applyAlignment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0" fillId="0" fontId="6" numFmtId="165" xfId="0" applyAlignment="1" applyFont="1" applyNumberFormat="1">
      <alignment horizontal="left"/>
    </xf>
    <xf borderId="0" fillId="0" fontId="6" numFmtId="172" xfId="0" applyFont="1" applyNumberFormat="1"/>
    <xf borderId="0" fillId="0" fontId="7" numFmtId="0" xfId="0" applyAlignment="1" applyFont="1">
      <alignment horizontal="center"/>
    </xf>
    <xf borderId="0" fillId="0" fontId="6" numFmtId="173" xfId="0" applyAlignment="1" applyFont="1" applyNumberFormat="1">
      <alignment horizontal="left"/>
    </xf>
    <xf borderId="0" fillId="0" fontId="6" numFmtId="164" xfId="0" applyFont="1" applyNumberFormat="1"/>
    <xf borderId="0" fillId="0" fontId="10" numFmtId="166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0" fillId="0" fontId="10" numFmtId="167" xfId="0" applyAlignment="1" applyFont="1" applyNumberFormat="1">
      <alignment horizontal="right"/>
    </xf>
    <xf borderId="0" fillId="0" fontId="7" numFmtId="0" xfId="0" applyAlignment="1" applyFont="1">
      <alignment horizontal="left"/>
    </xf>
    <xf borderId="0" fillId="0" fontId="7" numFmtId="173" xfId="0" applyAlignment="1" applyFont="1" applyNumberFormat="1">
      <alignment horizontal="left"/>
    </xf>
    <xf borderId="0" fillId="0" fontId="12" numFmtId="0" xfId="0" applyFont="1"/>
    <xf borderId="0" fillId="0" fontId="18" numFmtId="0" xfId="0" applyAlignment="1" applyFont="1">
      <alignment horizontal="center"/>
    </xf>
    <xf borderId="0" fillId="0" fontId="19" numFmtId="0" xfId="0" applyFont="1"/>
    <xf borderId="0" fillId="0" fontId="20" numFmtId="173" xfId="0" applyAlignment="1" applyFont="1" applyNumberFormat="1">
      <alignment horizontal="left"/>
    </xf>
    <xf borderId="0" fillId="0" fontId="21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0" fontId="7" numFmtId="167" xfId="0" applyFont="1" applyNumberFormat="1"/>
    <xf borderId="0" fillId="0" fontId="7" numFmtId="174" xfId="0" applyFont="1" applyNumberFormat="1"/>
    <xf borderId="0" fillId="0" fontId="7" numFmtId="39" xfId="0" applyAlignment="1" applyFont="1" applyNumberFormat="1">
      <alignment horizontal="right"/>
    </xf>
    <xf borderId="0" fillId="0" fontId="7" numFmtId="10" xfId="0" applyAlignment="1" applyFont="1" applyNumberFormat="1">
      <alignment horizontal="left"/>
    </xf>
    <xf borderId="0" fillId="0" fontId="7" numFmtId="10" xfId="0" applyFont="1" applyNumberFormat="1"/>
    <xf borderId="0" fillId="0" fontId="22" numFmtId="0" xfId="0" applyFont="1"/>
    <xf borderId="0" fillId="0" fontId="23" numFmtId="10" xfId="0" applyFont="1" applyNumberFormat="1"/>
    <xf borderId="0" fillId="0" fontId="24" numFmtId="0" xfId="0" applyFont="1"/>
    <xf borderId="0" fillId="0" fontId="25" numFmtId="0" xfId="0" applyAlignment="1" applyFont="1">
      <alignment horizontal="left"/>
    </xf>
    <xf borderId="2" fillId="3" fontId="25" numFmtId="0" xfId="0" applyBorder="1" applyFont="1"/>
    <xf borderId="0" fillId="0" fontId="9" numFmtId="0" xfId="0" applyFont="1"/>
    <xf borderId="0" fillId="0" fontId="25" numFmtId="0" xfId="0" applyFont="1"/>
    <xf borderId="2" fillId="3" fontId="25" numFmtId="175" xfId="0" applyBorder="1" applyFont="1" applyNumberFormat="1"/>
    <xf borderId="2" fillId="3" fontId="25" numFmtId="0" xfId="0" applyAlignment="1" applyBorder="1" applyFont="1">
      <alignment horizontal="right"/>
    </xf>
    <xf borderId="3" fillId="0" fontId="25" numFmtId="0" xfId="0" applyBorder="1" applyFont="1"/>
    <xf borderId="4" fillId="3" fontId="25" numFmtId="166" xfId="0" applyBorder="1" applyFont="1" applyNumberFormat="1"/>
    <xf borderId="2" fillId="3" fontId="25" numFmtId="164" xfId="0" applyBorder="1" applyFont="1" applyNumberFormat="1"/>
    <xf borderId="2" fillId="3" fontId="25" numFmtId="14" xfId="0" applyBorder="1" applyFont="1" applyNumberFormat="1"/>
    <xf borderId="2" fillId="3" fontId="25" numFmtId="166" xfId="0" applyBorder="1" applyFont="1" applyNumberFormat="1"/>
    <xf borderId="5" fillId="0" fontId="25" numFmtId="0" xfId="0" applyBorder="1" applyFont="1"/>
    <xf borderId="6" fillId="0" fontId="26" numFmtId="0" xfId="0" applyAlignment="1" applyBorder="1" applyFont="1">
      <alignment horizontal="right"/>
    </xf>
    <xf borderId="7" fillId="0" fontId="27" numFmtId="0" xfId="0" applyAlignment="1" applyBorder="1" applyFont="1">
      <alignment horizontal="center"/>
    </xf>
    <xf borderId="2" fillId="2" fontId="25" numFmtId="0" xfId="0" applyBorder="1" applyFont="1"/>
    <xf borderId="2" fillId="3" fontId="25" numFmtId="9" xfId="0" applyBorder="1" applyFont="1" applyNumberFormat="1"/>
    <xf borderId="8" fillId="0" fontId="25" numFmtId="0" xfId="0" applyBorder="1" applyFont="1"/>
    <xf borderId="9" fillId="3" fontId="25" numFmtId="0" xfId="0" applyBorder="1" applyFont="1"/>
    <xf borderId="10" fillId="0" fontId="25" numFmtId="0" xfId="0" applyBorder="1" applyFont="1"/>
    <xf borderId="1" fillId="3" fontId="25" numFmtId="9" xfId="0" applyBorder="1" applyFont="1" applyNumberFormat="1"/>
    <xf borderId="11" fillId="0" fontId="25" numFmtId="9" xfId="0" applyBorder="1" applyFont="1" applyNumberFormat="1"/>
    <xf borderId="12" fillId="0" fontId="9" numFmtId="0" xfId="0" applyBorder="1" applyFont="1"/>
    <xf borderId="13" fillId="0" fontId="9" numFmtId="0" xfId="0" applyBorder="1" applyFont="1"/>
    <xf borderId="14" fillId="3" fontId="9" numFmtId="174" xfId="0" applyBorder="1" applyFont="1" applyNumberFormat="1"/>
    <xf borderId="15" fillId="0" fontId="28" numFmtId="0" xfId="0" applyAlignment="1" applyBorder="1" applyFont="1">
      <alignment horizontal="right"/>
    </xf>
    <xf borderId="15" fillId="0" fontId="29" numFmtId="0" xfId="0" applyAlignment="1" applyBorder="1" applyFont="1">
      <alignment horizontal="center"/>
    </xf>
    <xf borderId="16" fillId="0" fontId="25" numFmtId="0" xfId="0" applyBorder="1" applyFont="1"/>
    <xf borderId="17" fillId="0" fontId="25" numFmtId="0" xfId="0" applyBorder="1" applyFont="1"/>
    <xf borderId="17" fillId="0" fontId="9" numFmtId="0" xfId="0" applyBorder="1" applyFont="1"/>
    <xf borderId="18" fillId="0" fontId="9" numFmtId="0" xfId="0" applyBorder="1" applyFont="1"/>
    <xf borderId="18" fillId="0" fontId="9" numFmtId="0" xfId="0" applyAlignment="1" applyBorder="1" applyFont="1">
      <alignment horizontal="center"/>
    </xf>
    <xf borderId="19" fillId="3" fontId="25" numFmtId="168" xfId="0" applyAlignment="1" applyBorder="1" applyFont="1" applyNumberFormat="1">
      <alignment horizontal="right"/>
    </xf>
    <xf borderId="20" fillId="0" fontId="9" numFmtId="0" xfId="0" applyBorder="1" applyFont="1"/>
    <xf borderId="2" fillId="2" fontId="25" numFmtId="0" xfId="0" applyAlignment="1" applyBorder="1" applyFont="1">
      <alignment horizontal="left"/>
    </xf>
    <xf borderId="2" fillId="2" fontId="9" numFmtId="0" xfId="0" applyBorder="1" applyFont="1"/>
    <xf borderId="0" fillId="2" fontId="30" numFmtId="0" xfId="0" applyFont="1"/>
    <xf borderId="21" fillId="0" fontId="9" numFmtId="168" xfId="0" applyBorder="1" applyFont="1" applyNumberFormat="1"/>
    <xf borderId="22" fillId="0" fontId="9" numFmtId="168" xfId="0" applyBorder="1" applyFont="1" applyNumberFormat="1"/>
    <xf borderId="23" fillId="0" fontId="9" numFmtId="168" xfId="0" applyBorder="1" applyFont="1" applyNumberFormat="1"/>
    <xf borderId="24" fillId="0" fontId="9" numFmtId="0" xfId="0" applyBorder="1" applyFont="1"/>
    <xf borderId="2" fillId="2" fontId="9" numFmtId="0" xfId="0" applyAlignment="1" applyBorder="1" applyFont="1">
      <alignment horizontal="left"/>
    </xf>
    <xf borderId="25" fillId="2" fontId="9" numFmtId="0" xfId="0" applyBorder="1" applyFont="1"/>
    <xf borderId="22" fillId="2" fontId="9" numFmtId="164" xfId="0" applyBorder="1" applyFont="1" applyNumberFormat="1"/>
    <xf borderId="26" fillId="2" fontId="9" numFmtId="0" xfId="0" applyBorder="1" applyFont="1"/>
    <xf borderId="25" fillId="2" fontId="9" numFmtId="176" xfId="0" applyBorder="1" applyFont="1" applyNumberFormat="1"/>
    <xf borderId="21" fillId="0" fontId="9" numFmtId="176" xfId="0" applyBorder="1" applyFont="1" applyNumberFormat="1"/>
    <xf borderId="22" fillId="0" fontId="9" numFmtId="176" xfId="0" applyBorder="1" applyFont="1" applyNumberFormat="1"/>
    <xf borderId="25" fillId="2" fontId="9" numFmtId="0" xfId="0" applyAlignment="1" applyBorder="1" applyFont="1">
      <alignment horizontal="left"/>
    </xf>
    <xf borderId="22" fillId="2" fontId="9" numFmtId="176" xfId="0" applyBorder="1" applyFont="1" applyNumberFormat="1"/>
    <xf borderId="22" fillId="4" fontId="9" numFmtId="176" xfId="0" applyBorder="1" applyFill="1" applyFont="1" applyNumberFormat="1"/>
    <xf borderId="22" fillId="2" fontId="9" numFmtId="0" xfId="0" applyBorder="1" applyFont="1"/>
    <xf borderId="26" fillId="4" fontId="9" numFmtId="176" xfId="0" applyBorder="1" applyFont="1" applyNumberFormat="1"/>
    <xf borderId="25" fillId="2" fontId="25" numFmtId="0" xfId="0" applyAlignment="1" applyBorder="1" applyFont="1">
      <alignment horizontal="left"/>
    </xf>
    <xf borderId="25" fillId="2" fontId="25" numFmtId="0" xfId="0" applyBorder="1" applyFont="1"/>
    <xf borderId="14" fillId="5" fontId="9" numFmtId="176" xfId="0" applyBorder="1" applyFill="1" applyFont="1" applyNumberFormat="1"/>
    <xf borderId="23" fillId="0" fontId="9" numFmtId="176" xfId="0" applyBorder="1" applyFont="1" applyNumberFormat="1"/>
    <xf borderId="22" fillId="0" fontId="9" numFmtId="164" xfId="0" applyBorder="1" applyFont="1" applyNumberFormat="1"/>
    <xf borderId="22" fillId="0" fontId="9" numFmtId="0" xfId="0" applyBorder="1" applyFont="1"/>
    <xf borderId="22" fillId="0" fontId="9" numFmtId="174" xfId="0" applyBorder="1" applyFont="1" applyNumberFormat="1"/>
    <xf borderId="23" fillId="0" fontId="9" numFmtId="164" xfId="0" applyBorder="1" applyFont="1" applyNumberFormat="1"/>
    <xf borderId="23" fillId="0" fontId="9" numFmtId="0" xfId="0" applyBorder="1" applyFont="1"/>
    <xf borderId="23" fillId="0" fontId="9" numFmtId="174" xfId="0" applyBorder="1" applyFont="1" applyNumberFormat="1"/>
    <xf borderId="27" fillId="0" fontId="9" numFmtId="0" xfId="0" applyBorder="1" applyFont="1"/>
    <xf borderId="28" fillId="0" fontId="9" numFmtId="0" xfId="0" applyBorder="1" applyFont="1"/>
    <xf borderId="22" fillId="4" fontId="9" numFmtId="168" xfId="0" applyBorder="1" applyFont="1" applyNumberFormat="1"/>
    <xf borderId="26" fillId="4" fontId="9" numFmtId="168" xfId="0" applyBorder="1" applyFont="1" applyNumberFormat="1"/>
    <xf borderId="22" fillId="2" fontId="9" numFmtId="174" xfId="0" applyBorder="1" applyFont="1" applyNumberFormat="1"/>
    <xf borderId="21" fillId="0" fontId="9" numFmtId="174" xfId="0" applyBorder="1" applyFont="1" applyNumberFormat="1"/>
    <xf borderId="26" fillId="2" fontId="9" numFmtId="174" xfId="0" applyBorder="1" applyFont="1" applyNumberFormat="1"/>
    <xf borderId="25" fillId="2" fontId="9" numFmtId="174" xfId="0" applyBorder="1" applyFont="1" applyNumberFormat="1"/>
    <xf borderId="14" fillId="4" fontId="9" numFmtId="168" xfId="0" applyBorder="1" applyFont="1" applyNumberFormat="1"/>
    <xf borderId="24" fillId="0" fontId="9" numFmtId="0" xfId="0" applyAlignment="1" applyBorder="1" applyFont="1">
      <alignment horizontal="left"/>
    </xf>
    <xf borderId="24" fillId="0" fontId="9" numFmtId="174" xfId="0" applyBorder="1" applyFont="1" applyNumberFormat="1"/>
    <xf borderId="20" fillId="0" fontId="25" numFmtId="0" xfId="0" applyBorder="1" applyFont="1"/>
    <xf borderId="27" fillId="0" fontId="25" numFmtId="9" xfId="0" applyBorder="1" applyFont="1" applyNumberFormat="1"/>
    <xf borderId="19" fillId="3" fontId="25" numFmtId="174" xfId="0" applyAlignment="1" applyBorder="1" applyFont="1" applyNumberFormat="1">
      <alignment horizontal="right"/>
    </xf>
    <xf borderId="26" fillId="2" fontId="9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3.25"/>
    <col customWidth="1" min="4" max="4" width="8.63"/>
    <col customWidth="1" min="5" max="5" width="10.25"/>
    <col customWidth="1" min="6" max="6" width="11.63"/>
    <col customWidth="1" min="7" max="7" width="11.75"/>
    <col customWidth="1" min="8" max="8" width="8.63"/>
    <col customWidth="1" min="9" max="9" width="12.75"/>
    <col customWidth="1" min="10" max="10" width="8.63"/>
    <col customWidth="1" min="11" max="11" width="13.0"/>
    <col customWidth="1" min="12" max="13" width="8.63"/>
    <col customWidth="1" min="14" max="14" width="18.75"/>
    <col customWidth="1" min="15" max="17" width="8.63"/>
    <col customWidth="1" min="18" max="18" width="14.13"/>
    <col customWidth="1" min="19" max="26" width="8.63"/>
  </cols>
  <sheetData>
    <row r="1">
      <c r="A1" s="1" t="s">
        <v>0</v>
      </c>
      <c r="G1" s="2" t="s">
        <v>1</v>
      </c>
      <c r="H1" s="3" t="s">
        <v>2</v>
      </c>
      <c r="N1" s="4" t="s">
        <v>3</v>
      </c>
    </row>
    <row r="2" ht="12.75" customHeight="1">
      <c r="A2" s="1"/>
      <c r="G2" s="2"/>
      <c r="N2" s="5" t="s">
        <v>4</v>
      </c>
    </row>
    <row r="3" ht="12.75" customHeight="1">
      <c r="A3" s="1"/>
      <c r="B3" s="6" t="s">
        <v>5</v>
      </c>
      <c r="C3" s="6"/>
      <c r="D3" s="6"/>
      <c r="E3" s="6"/>
      <c r="F3" s="6"/>
      <c r="G3" s="7">
        <v>6.0</v>
      </c>
      <c r="H3" s="8"/>
      <c r="N3" s="9" t="s">
        <v>6</v>
      </c>
    </row>
    <row r="4" ht="12.75" customHeight="1">
      <c r="A4" s="6"/>
      <c r="B4" s="10" t="s">
        <v>7</v>
      </c>
      <c r="C4" s="6"/>
      <c r="D4" s="11"/>
      <c r="E4" s="10"/>
      <c r="F4" s="6"/>
      <c r="G4" s="12">
        <v>23.0</v>
      </c>
      <c r="H4" s="10"/>
      <c r="I4" s="6"/>
      <c r="J4" s="10"/>
      <c r="K4" s="13"/>
      <c r="N4" s="14" t="s">
        <v>8</v>
      </c>
    </row>
    <row r="5" ht="12.75" customHeight="1">
      <c r="A5" s="6"/>
      <c r="B5" s="10" t="s">
        <v>9</v>
      </c>
      <c r="C5" s="6"/>
      <c r="D5" s="11"/>
      <c r="E5" s="10"/>
      <c r="F5" s="6"/>
      <c r="G5" s="7">
        <v>10.0</v>
      </c>
      <c r="H5" s="10"/>
      <c r="I5" s="6"/>
      <c r="J5" s="10"/>
      <c r="K5" s="13"/>
      <c r="N5" s="14" t="s">
        <v>10</v>
      </c>
    </row>
    <row r="6" ht="12.75" customHeight="1">
      <c r="A6" s="6"/>
      <c r="B6" s="10" t="s">
        <v>11</v>
      </c>
      <c r="C6" s="6"/>
      <c r="D6" s="15"/>
      <c r="E6" s="16"/>
      <c r="F6" s="16"/>
      <c r="G6" s="17">
        <v>0.1</v>
      </c>
      <c r="H6" s="18" t="s">
        <v>12</v>
      </c>
      <c r="I6" s="6"/>
      <c r="J6" s="10"/>
      <c r="K6" s="13"/>
      <c r="N6" s="14" t="s">
        <v>13</v>
      </c>
    </row>
    <row r="7" ht="12.75" customHeight="1">
      <c r="A7" s="6"/>
      <c r="B7" s="10" t="s">
        <v>14</v>
      </c>
      <c r="C7" s="6"/>
      <c r="D7" s="15"/>
      <c r="E7" s="16"/>
      <c r="F7" s="16"/>
      <c r="G7" s="17">
        <v>0.12</v>
      </c>
      <c r="H7" s="10"/>
      <c r="I7" s="6"/>
      <c r="J7" s="10"/>
      <c r="K7" s="13"/>
      <c r="N7" s="14" t="s">
        <v>15</v>
      </c>
    </row>
    <row r="8" ht="12.75" customHeight="1">
      <c r="A8" s="6"/>
      <c r="B8" s="10" t="s">
        <v>16</v>
      </c>
      <c r="C8" s="6"/>
      <c r="D8" s="15"/>
      <c r="E8" s="16"/>
      <c r="F8" s="16"/>
      <c r="G8" s="19">
        <f>CAW+(G4*G6)+(G4*G7)</f>
        <v>28.06</v>
      </c>
      <c r="H8" s="10"/>
      <c r="I8" s="6"/>
      <c r="J8" s="10"/>
      <c r="K8" s="13"/>
      <c r="N8" s="14"/>
    </row>
    <row r="9" ht="12.75" customHeight="1">
      <c r="A9" s="6"/>
      <c r="B9" s="10" t="s">
        <v>17</v>
      </c>
      <c r="C9" s="16"/>
      <c r="D9" s="16"/>
      <c r="E9" s="16"/>
      <c r="F9" s="16"/>
      <c r="G9" s="17">
        <v>0.285</v>
      </c>
      <c r="H9" s="10"/>
      <c r="I9" s="6"/>
      <c r="J9" s="10"/>
      <c r="K9" s="13"/>
      <c r="N9" s="20" t="s">
        <v>18</v>
      </c>
      <c r="O9" s="5"/>
      <c r="P9" s="21"/>
      <c r="Q9" s="21"/>
    </row>
    <row r="10" ht="12.75" customHeight="1">
      <c r="A10" s="16"/>
      <c r="B10" s="10" t="s">
        <v>19</v>
      </c>
      <c r="C10" s="6"/>
      <c r="D10" s="16"/>
      <c r="E10" s="16"/>
      <c r="F10" s="16"/>
      <c r="G10" s="22">
        <v>0.0825</v>
      </c>
      <c r="H10" s="16"/>
      <c r="I10" s="16"/>
      <c r="J10" s="10"/>
      <c r="K10" s="13"/>
      <c r="N10" s="20" t="s">
        <v>20</v>
      </c>
      <c r="O10" s="5"/>
      <c r="P10" s="5"/>
      <c r="Q10" s="5"/>
      <c r="R10" s="20"/>
      <c r="S10" s="14"/>
    </row>
    <row r="11" ht="12.75" customHeight="1">
      <c r="A11" s="16"/>
      <c r="B11" s="10" t="s">
        <v>21</v>
      </c>
      <c r="C11" s="6"/>
      <c r="D11" s="6"/>
      <c r="E11" s="16"/>
      <c r="F11" s="16"/>
      <c r="G11" s="12">
        <v>21.45</v>
      </c>
      <c r="H11" s="16"/>
      <c r="I11" s="16"/>
      <c r="J11" s="10"/>
      <c r="K11" s="13"/>
      <c r="N11" s="20" t="s">
        <v>22</v>
      </c>
      <c r="O11" s="5"/>
      <c r="P11" s="5"/>
      <c r="Q11" s="5"/>
      <c r="R11" s="20"/>
      <c r="S11" s="14"/>
    </row>
    <row r="12" ht="12.75" customHeight="1">
      <c r="A12" s="16"/>
      <c r="B12" s="10" t="s">
        <v>23</v>
      </c>
      <c r="C12" s="6"/>
      <c r="D12" s="15"/>
      <c r="E12" s="16"/>
      <c r="F12" s="16"/>
      <c r="G12" s="17">
        <v>0.25</v>
      </c>
      <c r="H12" s="16"/>
      <c r="I12" s="16"/>
      <c r="J12" s="10"/>
      <c r="K12" s="13"/>
      <c r="N12" s="20" t="s">
        <v>24</v>
      </c>
      <c r="O12" s="5"/>
      <c r="P12" s="5"/>
      <c r="Q12" s="5"/>
      <c r="R12" s="14"/>
      <c r="S12" s="14"/>
    </row>
    <row r="13" ht="12.75" customHeight="1">
      <c r="A13" s="16"/>
      <c r="B13" s="10" t="s">
        <v>25</v>
      </c>
      <c r="C13" s="6"/>
      <c r="D13" s="11"/>
      <c r="E13" s="16"/>
      <c r="F13" s="16"/>
      <c r="G13" s="12">
        <v>12.0</v>
      </c>
      <c r="H13" s="16"/>
      <c r="I13" s="16"/>
      <c r="J13" s="10"/>
      <c r="K13" s="13"/>
      <c r="N13" s="20" t="s">
        <v>26</v>
      </c>
      <c r="O13" s="5"/>
      <c r="P13" s="5"/>
      <c r="Q13" s="5"/>
      <c r="R13" s="14"/>
      <c r="S13" s="14"/>
    </row>
    <row r="14" ht="12.75" customHeight="1">
      <c r="A14" s="16"/>
      <c r="B14" s="10" t="s">
        <v>27</v>
      </c>
      <c r="C14" s="6"/>
      <c r="D14" s="11"/>
      <c r="E14" s="16"/>
      <c r="F14" s="16"/>
      <c r="G14" s="23">
        <f>'Landscape Intallation'!J6+'Lawn Installation'!J6+'2-C. Production costs'!J6</f>
        <v>515</v>
      </c>
      <c r="H14" s="16"/>
      <c r="I14" s="16"/>
      <c r="J14" s="16"/>
      <c r="K14" s="13"/>
      <c r="N14" s="20" t="s">
        <v>28</v>
      </c>
      <c r="O14" s="5"/>
      <c r="P14" s="5"/>
      <c r="Q14" s="5"/>
      <c r="R14" s="14"/>
      <c r="S14" s="14"/>
    </row>
    <row r="15" ht="12.75" customHeight="1">
      <c r="A15" s="16"/>
      <c r="B15" s="10" t="s">
        <v>29</v>
      </c>
      <c r="C15" s="6"/>
      <c r="D15" s="11"/>
      <c r="E15" s="16"/>
      <c r="F15" s="16"/>
      <c r="G15" s="23">
        <f>roundup(G14/(G5*G3-1),0)</f>
        <v>9</v>
      </c>
      <c r="H15" s="16"/>
      <c r="I15" s="16"/>
      <c r="J15" s="16"/>
      <c r="K15" s="13"/>
      <c r="N15" s="20"/>
      <c r="O15" s="5"/>
      <c r="P15" s="5"/>
      <c r="Q15" s="5"/>
      <c r="R15" s="14"/>
      <c r="S15" s="14"/>
    </row>
    <row r="16" ht="12.75" customHeight="1">
      <c r="A16" s="6"/>
      <c r="B16" s="6" t="s">
        <v>30</v>
      </c>
      <c r="C16" s="6"/>
      <c r="D16" s="6"/>
      <c r="E16" s="6"/>
      <c r="F16" s="6"/>
      <c r="G16" s="24">
        <v>1.0</v>
      </c>
      <c r="H16" s="8" t="s">
        <v>31</v>
      </c>
      <c r="I16" s="6"/>
      <c r="J16" s="6"/>
      <c r="K16" s="13"/>
      <c r="N16" s="20" t="s">
        <v>32</v>
      </c>
      <c r="O16" s="5" t="s">
        <v>33</v>
      </c>
      <c r="P16" s="5"/>
      <c r="Q16" s="5"/>
      <c r="R16" s="14"/>
      <c r="S16" s="14"/>
    </row>
    <row r="17" ht="12.75" customHeight="1">
      <c r="A17" s="6"/>
      <c r="B17" s="6"/>
      <c r="C17" s="6"/>
      <c r="D17" s="6"/>
      <c r="E17" s="6"/>
      <c r="F17" s="6"/>
      <c r="G17" s="25"/>
      <c r="H17" s="6"/>
      <c r="I17" s="6"/>
      <c r="J17" s="6"/>
      <c r="K17" s="13"/>
    </row>
    <row r="18" ht="12.75" customHeight="1">
      <c r="A18" s="1" t="s">
        <v>34</v>
      </c>
      <c r="B18" s="6"/>
      <c r="C18" s="2" t="s">
        <v>35</v>
      </c>
      <c r="D18" s="3"/>
      <c r="E18" s="2" t="s">
        <v>36</v>
      </c>
      <c r="F18" s="3"/>
      <c r="G18" s="2" t="s">
        <v>37</v>
      </c>
      <c r="H18" s="3"/>
      <c r="I18" s="2" t="s">
        <v>38</v>
      </c>
      <c r="J18" s="3"/>
      <c r="K18" s="3" t="s">
        <v>39</v>
      </c>
    </row>
    <row r="19" ht="12.75" customHeight="1">
      <c r="A19" s="26" t="s">
        <v>40</v>
      </c>
      <c r="B19" s="6"/>
      <c r="C19" s="6"/>
      <c r="D19" s="6"/>
      <c r="E19" s="6"/>
      <c r="F19" s="6"/>
      <c r="G19" s="6"/>
      <c r="H19" s="2"/>
      <c r="I19" s="2"/>
      <c r="J19" s="3"/>
      <c r="K19" s="13"/>
    </row>
    <row r="20" ht="12.75" customHeight="1">
      <c r="A20" s="6"/>
      <c r="B20" s="6"/>
      <c r="C20" s="27">
        <f>'Landscape Intallation'!I10+'Lawn Installation'!I10+'2-C. Production costs'!I10</f>
        <v>28583.59</v>
      </c>
      <c r="D20" s="6"/>
      <c r="E20" s="27">
        <f>'Landscape Intallation'!J10+'Lawn Installation'!J10+'2-C. Production costs'!K10</f>
        <v>11845</v>
      </c>
      <c r="F20" s="10"/>
      <c r="G20" s="27">
        <f>'Landscape Intallation'!K10+'Lawn Installation'!K10+'2-C. Production costs'!K10</f>
        <v>2362.9</v>
      </c>
      <c r="H20" s="28"/>
      <c r="I20" s="27">
        <f>'Landscape Intallation'!L10+'Lawn Installation'!L10+'2-C. Production costs'!L10</f>
        <v>59986</v>
      </c>
      <c r="J20" s="6"/>
      <c r="K20" s="13"/>
    </row>
    <row r="21" ht="12.75" customHeight="1">
      <c r="A21" s="6"/>
      <c r="B21" s="6"/>
      <c r="C21" s="29">
        <f>SUM(C20)</f>
        <v>28583.59</v>
      </c>
      <c r="D21" s="30"/>
      <c r="E21" s="29">
        <f>SUM(E20)</f>
        <v>11845</v>
      </c>
      <c r="F21" s="30"/>
      <c r="G21" s="29">
        <f>SUM(G20)</f>
        <v>2362.9</v>
      </c>
      <c r="H21" s="30"/>
      <c r="I21" s="29">
        <f>SUM(I20)</f>
        <v>59986</v>
      </c>
      <c r="J21" s="6"/>
      <c r="K21" s="31">
        <f>C21+E21+G21+I21</f>
        <v>102777.49</v>
      </c>
    </row>
    <row r="22" ht="12.75" customHeight="1">
      <c r="A22" s="6"/>
      <c r="B22" s="6"/>
      <c r="C22" s="30"/>
      <c r="D22" s="30"/>
      <c r="E22" s="32"/>
      <c r="F22" s="30"/>
      <c r="G22" s="30"/>
      <c r="H22" s="30"/>
      <c r="I22" s="30"/>
      <c r="J22" s="6"/>
      <c r="K22" s="31"/>
    </row>
    <row r="23" ht="12.75" customHeight="1">
      <c r="A23" s="26" t="s">
        <v>41</v>
      </c>
      <c r="B23" s="6"/>
      <c r="C23" s="30"/>
      <c r="D23" s="30"/>
      <c r="E23" s="30"/>
      <c r="F23" s="30"/>
      <c r="G23" s="30"/>
      <c r="H23" s="30"/>
      <c r="I23" s="30"/>
      <c r="J23" s="6"/>
      <c r="K23" s="31"/>
    </row>
    <row r="24" ht="12.75" customHeight="1">
      <c r="A24" s="6"/>
      <c r="B24" s="6"/>
      <c r="C24" s="30"/>
      <c r="D24" s="30"/>
      <c r="E24" s="33"/>
      <c r="F24" s="10"/>
      <c r="G24" s="29"/>
      <c r="H24" s="28"/>
      <c r="I24" s="34"/>
      <c r="J24" s="6"/>
      <c r="K24" s="31"/>
    </row>
    <row r="25" ht="12.75" customHeight="1">
      <c r="A25" s="6"/>
      <c r="B25" s="6"/>
      <c r="C25" s="27">
        <f>'3. GC costs'!I10</f>
        <v>40</v>
      </c>
      <c r="D25" s="29"/>
      <c r="E25" s="27">
        <f>'3. GC costs'!J10</f>
        <v>3225</v>
      </c>
      <c r="F25" s="29"/>
      <c r="G25" s="27">
        <f>'3. GC costs'!K10</f>
        <v>1140</v>
      </c>
      <c r="H25" s="28"/>
      <c r="I25" s="27">
        <f>'3. GC costs'!L10</f>
        <v>0</v>
      </c>
      <c r="J25" s="6"/>
      <c r="K25" s="31"/>
    </row>
    <row r="26" ht="12.75" customHeight="1">
      <c r="A26" s="6"/>
      <c r="B26" s="6"/>
      <c r="C26" s="29">
        <f>C25</f>
        <v>40</v>
      </c>
      <c r="D26" s="29"/>
      <c r="E26" s="29">
        <f>E25</f>
        <v>3225</v>
      </c>
      <c r="F26" s="32"/>
      <c r="G26" s="29">
        <f>G25</f>
        <v>1140</v>
      </c>
      <c r="H26" s="30"/>
      <c r="I26" s="29">
        <f>I25</f>
        <v>0</v>
      </c>
      <c r="J26" s="6"/>
      <c r="K26" s="31">
        <f>C26+E26+G26+I26</f>
        <v>4405</v>
      </c>
    </row>
    <row r="27" ht="12.75" customHeight="1">
      <c r="A27" s="6"/>
      <c r="B27" s="6"/>
      <c r="C27" s="35"/>
      <c r="D27" s="36"/>
      <c r="E27" s="37"/>
      <c r="F27" s="38"/>
      <c r="G27" s="37"/>
      <c r="H27" s="36"/>
      <c r="I27" s="35"/>
      <c r="J27" s="6"/>
      <c r="K27" s="31"/>
    </row>
    <row r="28" ht="12.75" customHeight="1">
      <c r="A28" s="6"/>
      <c r="B28" s="26" t="s">
        <v>39</v>
      </c>
      <c r="C28" s="39">
        <f>C21+C26</f>
        <v>28623.59</v>
      </c>
      <c r="D28" s="40"/>
      <c r="E28" s="39">
        <f>E21+E26</f>
        <v>15070</v>
      </c>
      <c r="F28" s="39"/>
      <c r="G28" s="39">
        <f>G21+G26</f>
        <v>3502.9</v>
      </c>
      <c r="H28" s="40"/>
      <c r="I28" s="39">
        <f>I21+I26</f>
        <v>59986</v>
      </c>
      <c r="J28" s="6"/>
      <c r="K28" s="31">
        <f>C28+E28+G28+I28</f>
        <v>107182.49</v>
      </c>
    </row>
    <row r="29" ht="12.75" customHeight="1">
      <c r="A29" s="6"/>
      <c r="B29" s="6"/>
      <c r="C29" s="30"/>
      <c r="D29" s="30"/>
      <c r="E29" s="32"/>
      <c r="F29" s="32"/>
      <c r="G29" s="32"/>
      <c r="H29" s="30"/>
      <c r="I29" s="30"/>
      <c r="J29" s="6"/>
      <c r="K29" s="13"/>
    </row>
    <row r="30" ht="12.75" customHeight="1">
      <c r="A30" s="41" t="s">
        <v>42</v>
      </c>
      <c r="B30" s="42"/>
      <c r="C30" s="30"/>
      <c r="D30" s="30"/>
      <c r="E30" s="30"/>
      <c r="F30" s="30"/>
      <c r="G30" s="30"/>
      <c r="H30" s="30"/>
      <c r="I30" s="30"/>
      <c r="J30" s="6"/>
      <c r="K30" s="13"/>
    </row>
    <row r="31" ht="12.75" customHeight="1">
      <c r="A31" s="6"/>
      <c r="B31" s="6"/>
      <c r="C31" s="30"/>
      <c r="D31" s="30"/>
      <c r="E31" s="30"/>
      <c r="F31" s="30"/>
      <c r="G31" s="30"/>
      <c r="H31" s="30"/>
      <c r="I31" s="30"/>
      <c r="J31" s="6"/>
      <c r="K31" s="13"/>
    </row>
    <row r="32" ht="12.75" customHeight="1">
      <c r="A32" s="6"/>
      <c r="B32" s="10" t="s">
        <v>43</v>
      </c>
      <c r="C32" s="38">
        <f>G10*C28</f>
        <v>2361.446175</v>
      </c>
      <c r="D32" s="29"/>
      <c r="E32" s="29"/>
      <c r="F32" s="29"/>
      <c r="G32" s="29"/>
      <c r="H32" s="29"/>
      <c r="I32" s="29"/>
      <c r="J32" s="6"/>
      <c r="K32" s="13"/>
    </row>
    <row r="33" ht="12.75" customHeight="1">
      <c r="A33" s="6"/>
      <c r="B33" s="6"/>
      <c r="C33" s="32"/>
      <c r="D33" s="29"/>
      <c r="E33" s="29"/>
      <c r="F33" s="29"/>
      <c r="G33" s="29"/>
      <c r="H33" s="29"/>
      <c r="I33" s="29"/>
      <c r="J33" s="6"/>
      <c r="K33" s="13"/>
    </row>
    <row r="34" ht="12.75" customHeight="1">
      <c r="A34" s="6"/>
      <c r="B34" s="10" t="s">
        <v>44</v>
      </c>
      <c r="C34" s="32"/>
      <c r="D34" s="29"/>
      <c r="E34" s="38">
        <f>E28*$G$9</f>
        <v>4294.95</v>
      </c>
      <c r="F34" s="29"/>
      <c r="G34" s="29"/>
      <c r="H34" s="29"/>
      <c r="I34" s="29"/>
      <c r="J34" s="6"/>
      <c r="K34" s="13"/>
    </row>
    <row r="35" ht="12.75" customHeight="1">
      <c r="A35" s="6"/>
      <c r="B35" s="6"/>
      <c r="C35" s="43"/>
      <c r="D35" s="29"/>
      <c r="E35" s="44"/>
      <c r="F35" s="29"/>
      <c r="G35" s="44"/>
      <c r="H35" s="29"/>
      <c r="I35" s="44"/>
      <c r="J35" s="6"/>
      <c r="K35" s="13"/>
    </row>
    <row r="36" ht="12.75" customHeight="1">
      <c r="A36" s="6"/>
      <c r="B36" s="26" t="s">
        <v>39</v>
      </c>
      <c r="C36" s="39">
        <f>C28+C32</f>
        <v>30985.03618</v>
      </c>
      <c r="D36" s="40"/>
      <c r="E36" s="39">
        <f>E34+E28</f>
        <v>19364.95</v>
      </c>
      <c r="F36" s="39"/>
      <c r="G36" s="39">
        <f>G28</f>
        <v>3502.9</v>
      </c>
      <c r="H36" s="29"/>
      <c r="I36" s="39">
        <f>I28</f>
        <v>59986</v>
      </c>
      <c r="J36" s="30"/>
      <c r="K36" s="45"/>
    </row>
    <row r="37" ht="12.75" customHeight="1">
      <c r="A37" s="6"/>
      <c r="B37" s="6"/>
      <c r="C37" s="29"/>
      <c r="D37" s="29"/>
      <c r="E37" s="29"/>
      <c r="F37" s="29"/>
      <c r="G37" s="29"/>
      <c r="H37" s="29"/>
      <c r="I37" s="29"/>
      <c r="J37" s="6"/>
      <c r="K37" s="13"/>
    </row>
    <row r="38" ht="12.75" customHeight="1">
      <c r="A38" s="6"/>
      <c r="B38" s="26" t="s">
        <v>45</v>
      </c>
      <c r="C38" s="46"/>
      <c r="D38" s="46"/>
      <c r="E38" s="46"/>
      <c r="F38" s="46"/>
      <c r="G38" s="46"/>
      <c r="H38" s="46"/>
      <c r="I38" s="39">
        <f>SUM(C36:I36)</f>
        <v>113838.8862</v>
      </c>
      <c r="J38" s="47" t="s">
        <v>46</v>
      </c>
      <c r="K38" s="13"/>
    </row>
    <row r="39" ht="12.75" customHeight="1">
      <c r="A39" s="6"/>
      <c r="B39" s="6"/>
      <c r="C39" s="30"/>
      <c r="D39" s="30"/>
      <c r="E39" s="30"/>
      <c r="F39" s="30"/>
      <c r="G39" s="30"/>
      <c r="H39" s="30"/>
      <c r="I39" s="32"/>
      <c r="J39" s="6"/>
      <c r="K39" s="13"/>
    </row>
    <row r="40" ht="12.75" customHeight="1">
      <c r="A40" s="6"/>
      <c r="B40" s="10" t="s">
        <v>47</v>
      </c>
      <c r="C40" s="30"/>
      <c r="D40" s="30"/>
      <c r="E40" s="30"/>
      <c r="F40" s="30"/>
      <c r="G40" s="30"/>
      <c r="H40" s="30"/>
      <c r="I40" s="32"/>
      <c r="J40" s="6"/>
      <c r="K40" s="13"/>
    </row>
    <row r="41" ht="12.75" customHeight="1">
      <c r="A41" s="6"/>
      <c r="B41" s="33">
        <f>'Landscape Intallation'!J6+'3. GC costs'!J6</f>
        <v>625.1</v>
      </c>
      <c r="C41" s="48" t="s">
        <v>48</v>
      </c>
      <c r="D41" s="30"/>
      <c r="E41" s="30"/>
      <c r="F41" s="30"/>
      <c r="G41" s="29">
        <f>G11</f>
        <v>21.45</v>
      </c>
      <c r="H41" s="49" t="s">
        <v>49</v>
      </c>
      <c r="I41" s="38">
        <f>B41*G41</f>
        <v>13408.395</v>
      </c>
      <c r="J41" s="6"/>
      <c r="K41" s="13"/>
    </row>
    <row r="42" ht="12.75" customHeight="1">
      <c r="A42" s="6"/>
      <c r="B42" s="26" t="s">
        <v>50</v>
      </c>
      <c r="C42" s="46"/>
      <c r="D42" s="46"/>
      <c r="E42" s="46"/>
      <c r="F42" s="46"/>
      <c r="G42" s="46"/>
      <c r="H42" s="46"/>
      <c r="I42" s="39">
        <f>I38+I41</f>
        <v>127247.2812</v>
      </c>
      <c r="J42" s="47" t="s">
        <v>51</v>
      </c>
      <c r="K42" s="13"/>
    </row>
    <row r="43" ht="12.75" customHeight="1">
      <c r="A43" s="6"/>
      <c r="B43" s="6"/>
      <c r="C43" s="30"/>
      <c r="D43" s="30"/>
      <c r="E43" s="30"/>
      <c r="F43" s="30"/>
      <c r="G43" s="30"/>
      <c r="H43" s="30"/>
      <c r="I43" s="43"/>
      <c r="J43" s="6"/>
      <c r="K43" s="13"/>
    </row>
    <row r="44" ht="12.75" customHeight="1">
      <c r="A44" s="6"/>
      <c r="B44" s="10" t="s">
        <v>52</v>
      </c>
      <c r="C44" s="30"/>
      <c r="D44" s="30"/>
      <c r="E44" s="30"/>
      <c r="F44" s="30"/>
      <c r="G44" s="30"/>
      <c r="H44" s="30"/>
      <c r="I44" s="32"/>
      <c r="J44" s="6"/>
      <c r="K44" s="13"/>
    </row>
    <row r="45" ht="12.75" customHeight="1">
      <c r="A45" s="6"/>
      <c r="B45" s="10" t="s">
        <v>53</v>
      </c>
      <c r="C45" s="30"/>
      <c r="D45" s="30"/>
      <c r="E45" s="30"/>
      <c r="F45" s="30"/>
      <c r="G45" s="30"/>
      <c r="H45" s="30"/>
      <c r="I45" s="43"/>
      <c r="J45" s="6"/>
      <c r="K45" s="13"/>
    </row>
    <row r="46" ht="12.75" customHeight="1">
      <c r="A46" s="6"/>
      <c r="B46" s="15">
        <f>G12</f>
        <v>0.25</v>
      </c>
      <c r="C46" s="50"/>
      <c r="D46" s="50"/>
      <c r="E46" s="50"/>
      <c r="F46" s="51"/>
      <c r="G46" s="11"/>
      <c r="H46" s="51"/>
      <c r="I46" s="38">
        <f>I42/(1-B46)-I42</f>
        <v>42415.76039</v>
      </c>
      <c r="J46" s="30"/>
      <c r="K46" s="13"/>
    </row>
    <row r="47" ht="12.75" customHeight="1">
      <c r="A47" s="6"/>
      <c r="B47" s="26" t="s">
        <v>54</v>
      </c>
      <c r="C47" s="41"/>
      <c r="D47" s="41"/>
      <c r="E47" s="41"/>
      <c r="F47" s="41"/>
      <c r="G47" s="41"/>
      <c r="H47" s="41"/>
      <c r="I47" s="39">
        <f>I42+I44+I46</f>
        <v>169663.0416</v>
      </c>
      <c r="J47" s="52"/>
      <c r="K47" s="13"/>
    </row>
    <row r="48" ht="12.75" customHeight="1">
      <c r="A48" s="16" t="s">
        <v>55</v>
      </c>
      <c r="B48" s="16"/>
      <c r="C48" s="16"/>
      <c r="D48" s="16"/>
      <c r="E48" s="16"/>
      <c r="F48" s="16"/>
      <c r="G48" s="16"/>
      <c r="H48" s="16"/>
      <c r="I48" s="16"/>
      <c r="J48" s="16"/>
      <c r="K48" s="53"/>
    </row>
    <row r="49" ht="12.75" customHeight="1">
      <c r="A49" s="41" t="s">
        <v>56</v>
      </c>
      <c r="B49" s="41"/>
      <c r="C49" s="16"/>
      <c r="D49" s="6"/>
      <c r="E49" s="16"/>
      <c r="F49" s="6"/>
      <c r="G49" s="6"/>
      <c r="H49" s="6"/>
      <c r="I49" s="54"/>
      <c r="J49" s="16"/>
      <c r="K49" s="13"/>
    </row>
    <row r="50" ht="12.75" customHeight="1">
      <c r="A50" s="10"/>
      <c r="B50" s="6"/>
      <c r="C50" s="16"/>
      <c r="D50" s="6"/>
      <c r="E50" s="16"/>
      <c r="F50" s="6"/>
      <c r="G50" s="6"/>
      <c r="H50" s="6"/>
      <c r="I50" s="54"/>
      <c r="J50" s="16"/>
      <c r="K50" s="13"/>
    </row>
    <row r="51" ht="12.75" customHeight="1">
      <c r="A51" s="10"/>
      <c r="B51" s="6" t="s">
        <v>57</v>
      </c>
      <c r="C51" s="16"/>
      <c r="D51" s="6"/>
      <c r="E51" s="6"/>
      <c r="F51" s="6"/>
      <c r="G51" s="6"/>
      <c r="H51" s="6"/>
      <c r="I51" s="16"/>
      <c r="J51" s="16"/>
      <c r="K51" s="13"/>
    </row>
    <row r="52" ht="12.75" customHeight="1">
      <c r="A52" s="10"/>
      <c r="B52" s="6"/>
      <c r="C52" s="16"/>
      <c r="D52" s="6"/>
      <c r="E52" s="6"/>
      <c r="F52" s="6"/>
      <c r="G52" s="6"/>
      <c r="H52" s="6"/>
      <c r="I52" s="16"/>
      <c r="J52" s="16"/>
      <c r="K52" s="13"/>
    </row>
    <row r="53" ht="12.75" customHeight="1">
      <c r="A53" s="10"/>
      <c r="B53" s="6"/>
      <c r="C53" s="32">
        <f>PRICE</f>
        <v>169663.0416</v>
      </c>
      <c r="D53" s="6" t="s">
        <v>58</v>
      </c>
      <c r="E53" s="16"/>
      <c r="F53" s="55">
        <f>G16</f>
        <v>1</v>
      </c>
      <c r="G53" s="6" t="s">
        <v>49</v>
      </c>
      <c r="H53" s="6"/>
      <c r="I53" s="56">
        <f>C53/F53</f>
        <v>169663.0416</v>
      </c>
      <c r="J53" s="41" t="s">
        <v>59</v>
      </c>
      <c r="K53" s="13"/>
    </row>
    <row r="54" ht="12.75" customHeight="1">
      <c r="A54" s="42"/>
      <c r="B54" s="6"/>
      <c r="C54" s="16"/>
      <c r="D54" s="6"/>
      <c r="E54" s="16"/>
      <c r="F54" s="6"/>
      <c r="G54" s="6"/>
      <c r="H54" s="6"/>
      <c r="I54" s="56"/>
      <c r="J54" s="13"/>
      <c r="K54" s="13"/>
    </row>
    <row r="55" ht="12.75" customHeight="1">
      <c r="A55" s="10"/>
      <c r="B55" s="6" t="s">
        <v>60</v>
      </c>
      <c r="C55" s="16"/>
      <c r="D55" s="6"/>
      <c r="E55" s="16"/>
      <c r="F55" s="6"/>
      <c r="G55" s="6"/>
      <c r="H55" s="6"/>
      <c r="I55" s="56"/>
      <c r="J55" s="13"/>
      <c r="K55" s="13"/>
    </row>
    <row r="56" ht="12.75" customHeight="1">
      <c r="A56" s="10"/>
      <c r="B56" s="10"/>
      <c r="C56" s="16"/>
      <c r="D56" s="6"/>
      <c r="E56" s="16"/>
      <c r="F56" s="6"/>
      <c r="G56" s="6"/>
      <c r="H56" s="6"/>
      <c r="I56" s="56"/>
      <c r="J56" s="13"/>
      <c r="K56" s="13"/>
    </row>
    <row r="57" ht="12.75" customHeight="1">
      <c r="A57" s="10"/>
      <c r="B57" s="6"/>
      <c r="C57" s="32">
        <f>PRICE</f>
        <v>169663.0416</v>
      </c>
      <c r="D57" s="6" t="s">
        <v>58</v>
      </c>
      <c r="E57" s="16"/>
      <c r="F57" s="55">
        <f>B41</f>
        <v>625.1</v>
      </c>
      <c r="G57" s="6" t="s">
        <v>49</v>
      </c>
      <c r="H57" s="6"/>
      <c r="I57" s="56">
        <f>C57/F57</f>
        <v>271.4174397</v>
      </c>
      <c r="J57" s="41" t="s">
        <v>61</v>
      </c>
      <c r="K57" s="13"/>
    </row>
    <row r="58" ht="12.75" customHeight="1">
      <c r="A58" s="10"/>
      <c r="B58" s="6"/>
      <c r="C58" s="16"/>
      <c r="D58" s="6"/>
      <c r="E58" s="16"/>
      <c r="F58" s="6"/>
      <c r="G58" s="6"/>
      <c r="H58" s="6"/>
      <c r="I58" s="56"/>
      <c r="J58" s="13"/>
      <c r="K58" s="13"/>
    </row>
    <row r="59" ht="12.75" customHeight="1">
      <c r="A59" s="10"/>
      <c r="B59" s="6" t="s">
        <v>62</v>
      </c>
      <c r="C59" s="16"/>
      <c r="D59" s="6"/>
      <c r="E59" s="16"/>
      <c r="F59" s="6"/>
      <c r="G59" s="6"/>
      <c r="H59" s="6"/>
      <c r="I59" s="56"/>
      <c r="J59" s="13"/>
      <c r="K59" s="13"/>
    </row>
    <row r="60" ht="12.75" customHeight="1">
      <c r="A60" s="10"/>
      <c r="B60" s="6"/>
      <c r="C60" s="16"/>
      <c r="D60" s="6"/>
      <c r="E60" s="16"/>
      <c r="F60" s="6"/>
      <c r="G60" s="6"/>
      <c r="H60" s="6"/>
      <c r="I60" s="56"/>
      <c r="J60" s="13"/>
      <c r="K60" s="13"/>
    </row>
    <row r="61" ht="12.75" customHeight="1">
      <c r="A61" s="10"/>
      <c r="B61" s="6"/>
      <c r="C61" s="32">
        <f>I41+I44+I46</f>
        <v>55824.15539</v>
      </c>
      <c r="D61" s="6"/>
      <c r="E61" s="57" t="s">
        <v>63</v>
      </c>
      <c r="F61" s="32">
        <f>PRICE</f>
        <v>169663.0416</v>
      </c>
      <c r="G61" s="6" t="s">
        <v>49</v>
      </c>
      <c r="H61" s="6"/>
      <c r="I61" s="58">
        <f>C61/F61</f>
        <v>0.3290295569</v>
      </c>
      <c r="J61" s="41" t="s">
        <v>64</v>
      </c>
      <c r="K61" s="13"/>
    </row>
    <row r="62" ht="12.75" customHeight="1">
      <c r="A62" s="59"/>
      <c r="B62" s="13"/>
      <c r="C62" s="53"/>
      <c r="D62" s="13"/>
      <c r="E62" s="53"/>
      <c r="F62" s="13"/>
      <c r="G62" s="13"/>
      <c r="H62" s="13"/>
      <c r="I62" s="60"/>
      <c r="J62" s="13"/>
      <c r="K62" s="13"/>
    </row>
    <row r="63" ht="12.75" customHeight="1">
      <c r="A63" s="26" t="s">
        <v>65</v>
      </c>
      <c r="B63" s="61"/>
      <c r="C63" s="62"/>
      <c r="D63" s="63"/>
      <c r="E63" s="62"/>
      <c r="F63" s="63"/>
      <c r="G63" s="63"/>
      <c r="H63" s="63"/>
      <c r="I63" s="64"/>
      <c r="J63" s="13"/>
      <c r="K63" s="13"/>
    </row>
    <row r="64" ht="12.75" customHeight="1">
      <c r="A64" s="65"/>
      <c r="B64" s="61"/>
      <c r="C64" s="62"/>
      <c r="D64" s="63"/>
      <c r="E64" s="62" t="s">
        <v>66</v>
      </c>
      <c r="F64" s="63"/>
      <c r="G64" s="63"/>
      <c r="H64" s="63"/>
      <c r="I64" s="64" t="s">
        <v>67</v>
      </c>
      <c r="J64" s="13"/>
      <c r="K64" s="13"/>
    </row>
    <row r="65" ht="12.75" customHeight="1">
      <c r="A65" s="13"/>
      <c r="B65" s="66" t="s">
        <v>68</v>
      </c>
      <c r="C65" s="45">
        <f>I47/B41</f>
        <v>271.4174397</v>
      </c>
      <c r="D65" s="13"/>
      <c r="E65" s="67">
        <f>$C$65/$C$65</f>
        <v>1</v>
      </c>
      <c r="F65" s="13"/>
      <c r="G65" s="66" t="s">
        <v>69</v>
      </c>
      <c r="H65" s="13"/>
      <c r="I65" s="68">
        <f>C28/E28</f>
        <v>1.899375581</v>
      </c>
      <c r="J65" s="41" t="s">
        <v>64</v>
      </c>
      <c r="K65" s="13"/>
    </row>
    <row r="66" ht="12.75" customHeight="1">
      <c r="A66" s="13"/>
      <c r="B66" s="66" t="s">
        <v>70</v>
      </c>
      <c r="C66" s="45">
        <f>$I$38/$B$41</f>
        <v>182.1130798</v>
      </c>
      <c r="D66" s="13"/>
      <c r="E66" s="67">
        <f>$C$66/$C$65</f>
        <v>0.6709704431</v>
      </c>
      <c r="F66" s="13"/>
      <c r="G66" s="66" t="s">
        <v>71</v>
      </c>
      <c r="H66" s="13"/>
      <c r="I66" s="45">
        <f>$C$28/$B$41</f>
        <v>45.79041753</v>
      </c>
      <c r="J66" s="67">
        <f>I66/$C$65</f>
        <v>0.1687084573</v>
      </c>
      <c r="K66" s="13"/>
    </row>
    <row r="67" ht="12.75" customHeight="1">
      <c r="A67" s="13"/>
      <c r="B67" s="66" t="s">
        <v>72</v>
      </c>
      <c r="C67" s="45">
        <f>G11</f>
        <v>21.45</v>
      </c>
      <c r="D67" s="13"/>
      <c r="E67" s="67">
        <f>$C$67/$C$65</f>
        <v>0.07902955692</v>
      </c>
      <c r="F67" s="13"/>
      <c r="G67" s="66" t="s">
        <v>73</v>
      </c>
      <c r="H67" s="13"/>
      <c r="I67" s="68">
        <f>G28/E28</f>
        <v>0.2324419376</v>
      </c>
      <c r="J67" s="59" t="s">
        <v>74</v>
      </c>
      <c r="K67" s="13"/>
    </row>
    <row r="68" ht="12.75" customHeight="1">
      <c r="A68" s="13"/>
      <c r="B68" s="66" t="s">
        <v>75</v>
      </c>
      <c r="C68" s="45">
        <f>($I$44+$I$46)/$B$41</f>
        <v>67.85435993</v>
      </c>
      <c r="D68" s="13"/>
      <c r="E68" s="67">
        <f>$C$68/$C$65</f>
        <v>0.25</v>
      </c>
      <c r="F68" s="13"/>
      <c r="G68" s="66" t="s">
        <v>76</v>
      </c>
      <c r="H68" s="13"/>
      <c r="I68" s="68">
        <f>$G$28/$B$41</f>
        <v>5.603743401</v>
      </c>
      <c r="J68" s="67">
        <f>I68/$C$65</f>
        <v>0.02064621716</v>
      </c>
      <c r="K68" s="13"/>
    </row>
    <row r="69" ht="12.75" customHeight="1">
      <c r="A69" s="13"/>
      <c r="B69" s="66" t="s">
        <v>77</v>
      </c>
      <c r="C69" s="45">
        <f>$I$42</f>
        <v>127247.2812</v>
      </c>
      <c r="D69" s="13"/>
      <c r="E69" s="67">
        <f>$C$69/$I$47</f>
        <v>0.75</v>
      </c>
      <c r="F69" s="13"/>
      <c r="G69" s="66" t="s">
        <v>78</v>
      </c>
      <c r="H69" s="13"/>
      <c r="I69" s="45">
        <f>SUM($C$26:$I$26)</f>
        <v>4405</v>
      </c>
      <c r="J69" s="67">
        <f>$I$69/$I$47</f>
        <v>0.02596322664</v>
      </c>
      <c r="K69" s="13"/>
    </row>
    <row r="70" ht="12.75" customHeight="1">
      <c r="A70" s="13"/>
      <c r="B70" s="66" t="s">
        <v>79</v>
      </c>
      <c r="C70" s="45">
        <f>$I$41</f>
        <v>13408.395</v>
      </c>
      <c r="D70" s="13"/>
      <c r="E70" s="67">
        <f>$C$70/$I$47</f>
        <v>0.07902955692</v>
      </c>
      <c r="F70" s="13"/>
      <c r="G70" s="66" t="s">
        <v>80</v>
      </c>
      <c r="H70" s="13"/>
      <c r="I70" s="45">
        <f>SUM($C$26:$I$26)/$B$41</f>
        <v>7.0468725</v>
      </c>
      <c r="J70" s="67">
        <f>I70/$C$65</f>
        <v>0.02596322664</v>
      </c>
      <c r="K70" s="13"/>
    </row>
    <row r="71" ht="12.75" customHeight="1">
      <c r="A71" s="13"/>
      <c r="B71" s="66" t="s">
        <v>81</v>
      </c>
      <c r="C71" s="45">
        <f>($I$44+$I$46)</f>
        <v>42415.76039</v>
      </c>
      <c r="D71" s="13"/>
      <c r="E71" s="67">
        <f>$C$71/$I$47</f>
        <v>0.25</v>
      </c>
      <c r="F71" s="13"/>
      <c r="G71" s="66" t="s">
        <v>82</v>
      </c>
      <c r="H71" s="13"/>
      <c r="I71" s="69"/>
      <c r="J71" s="67">
        <f>$E$24/($E$24+$E$20)</f>
        <v>0</v>
      </c>
      <c r="K71" s="13"/>
    </row>
    <row r="72" ht="12.75" customHeight="1">
      <c r="A72" s="13"/>
      <c r="B72" s="66" t="s">
        <v>83</v>
      </c>
      <c r="C72" s="45">
        <f>C70+C71</f>
        <v>55824.15539</v>
      </c>
      <c r="D72" s="13"/>
      <c r="E72" s="67">
        <f>$C$72/$I$47</f>
        <v>0.3290295569</v>
      </c>
      <c r="F72" s="13"/>
      <c r="G72" s="66" t="s">
        <v>84</v>
      </c>
      <c r="H72" s="13"/>
      <c r="I72" s="45">
        <f>PRICE/C28</f>
        <v>5.927385124</v>
      </c>
      <c r="J72" s="70" t="s">
        <v>85</v>
      </c>
      <c r="K72" s="13"/>
    </row>
    <row r="73" ht="12.75" customHeight="1">
      <c r="A73" s="13"/>
      <c r="B73" s="66" t="s">
        <v>86</v>
      </c>
      <c r="C73" s="45">
        <f>$C$68+$C$67</f>
        <v>89.30435993</v>
      </c>
      <c r="D73" s="13"/>
      <c r="E73" s="67">
        <f>$C$73/$C$65</f>
        <v>0.3290295569</v>
      </c>
      <c r="F73" s="13"/>
      <c r="G73" s="66" t="s">
        <v>87</v>
      </c>
      <c r="H73" s="13"/>
      <c r="I73" s="45">
        <f>PRICE/G16</f>
        <v>169663.0416</v>
      </c>
      <c r="J73" s="71"/>
      <c r="K73" s="13"/>
    </row>
    <row r="74" ht="12.75" customHeight="1">
      <c r="A74" s="59"/>
      <c r="B74" s="13"/>
      <c r="C74" s="13"/>
      <c r="D74" s="13"/>
      <c r="E74" s="13"/>
      <c r="F74" s="13"/>
      <c r="G74" s="13"/>
      <c r="H74" s="13"/>
      <c r="I74" s="71"/>
      <c r="J74" s="71"/>
      <c r="K74" s="13"/>
    </row>
    <row r="75" ht="12.75" customHeight="1">
      <c r="A75" s="66" t="s">
        <v>88</v>
      </c>
      <c r="B75" s="13"/>
      <c r="C75" s="13"/>
      <c r="D75" s="72"/>
      <c r="E75" s="72"/>
      <c r="F75" s="72"/>
      <c r="G75" s="72"/>
      <c r="H75" s="72"/>
      <c r="I75" s="73"/>
      <c r="K75" s="67">
        <f>($I$41-($C$28*0.1)-(0.25*$G$28)-(0.05*$I$28))/($E$36)</f>
        <v>0.3444889349</v>
      </c>
    </row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13.25"/>
    <col customWidth="1" min="3" max="3" width="26.0"/>
    <col customWidth="1" min="4" max="4" width="8.38"/>
    <col customWidth="1" min="5" max="5" width="3.88"/>
    <col customWidth="1" min="6" max="6" width="10.88"/>
    <col customWidth="1" min="7" max="7" width="13.25"/>
    <col customWidth="1" min="8" max="8" width="12.88"/>
    <col customWidth="1" min="9" max="9" width="17.25"/>
    <col customWidth="1" min="10" max="10" width="12.0"/>
    <col customWidth="1" min="11" max="11" width="11.63"/>
    <col customWidth="1" min="12" max="12" width="11.0"/>
    <col customWidth="1" min="13" max="26" width="8.88"/>
  </cols>
  <sheetData>
    <row r="1" ht="12.75" customHeight="1">
      <c r="A1" s="74"/>
      <c r="B1" s="75" t="s">
        <v>20</v>
      </c>
      <c r="C1" s="76" t="str">
        <f>'1. Setup &amp; Recap'!O10</f>
        <v/>
      </c>
      <c r="D1" s="77"/>
      <c r="E1" s="77"/>
      <c r="F1" s="78" t="s">
        <v>18</v>
      </c>
      <c r="G1" s="79" t="str">
        <f>'1. Setup &amp; Recap'!O9</f>
        <v/>
      </c>
      <c r="H1" s="77"/>
      <c r="I1" s="77"/>
      <c r="J1" s="77"/>
      <c r="K1" s="77"/>
      <c r="L1" s="77"/>
      <c r="M1" s="77"/>
      <c r="N1" s="4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12.75" customHeight="1">
      <c r="A2" s="77"/>
      <c r="B2" s="75" t="s">
        <v>22</v>
      </c>
      <c r="C2" s="76" t="str">
        <f>'1. Setup &amp; Recap'!O11</f>
        <v/>
      </c>
      <c r="D2" s="77"/>
      <c r="E2" s="77"/>
      <c r="F2" s="78" t="s">
        <v>32</v>
      </c>
      <c r="G2" s="80" t="str">
        <f>'1. Setup &amp; Recap'!O16</f>
        <v>Hayden Lutz, Rob McKenna, John Dickinson</v>
      </c>
      <c r="H2" s="77"/>
      <c r="I2" s="81" t="s">
        <v>89</v>
      </c>
      <c r="J2" s="82">
        <f>$G$5*(1+$G$6+$G$7)</f>
        <v>28.06</v>
      </c>
      <c r="K2" s="77"/>
      <c r="L2" s="77"/>
      <c r="M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2.75" customHeight="1">
      <c r="A3" s="77"/>
      <c r="B3" s="75" t="s">
        <v>24</v>
      </c>
      <c r="C3" s="76" t="str">
        <f>'1. Setup &amp; Recap'!O12</f>
        <v/>
      </c>
      <c r="D3" s="77"/>
      <c r="E3" s="77"/>
      <c r="F3" s="78" t="s">
        <v>90</v>
      </c>
      <c r="G3" s="83">
        <f>'1. Setup &amp; Recap'!G3</f>
        <v>6</v>
      </c>
      <c r="H3" s="77"/>
      <c r="I3" s="77"/>
      <c r="J3" s="77"/>
      <c r="K3" s="77"/>
      <c r="L3" s="77"/>
      <c r="M3" s="77"/>
      <c r="N3" s="5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12.75" customHeight="1">
      <c r="A4" s="77"/>
      <c r="B4" s="75" t="s">
        <v>26</v>
      </c>
      <c r="C4" s="76" t="str">
        <f>'1. Setup &amp; Recap'!O13</f>
        <v/>
      </c>
      <c r="D4" s="77"/>
      <c r="E4" s="77"/>
      <c r="F4" s="78" t="s">
        <v>91</v>
      </c>
      <c r="G4" s="83">
        <f>'1. Setup &amp; Recap'!G5</f>
        <v>10</v>
      </c>
      <c r="H4" s="77"/>
      <c r="I4" s="77"/>
      <c r="J4" s="77"/>
      <c r="K4" s="77"/>
      <c r="L4" s="77"/>
      <c r="M4" s="77"/>
      <c r="N4" s="14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77"/>
      <c r="B5" s="75" t="s">
        <v>28</v>
      </c>
      <c r="C5" s="84" t="str">
        <f>'1. Setup &amp; Recap'!O14</f>
        <v/>
      </c>
      <c r="D5" s="77"/>
      <c r="E5" s="77"/>
      <c r="F5" s="78" t="s">
        <v>92</v>
      </c>
      <c r="G5" s="85">
        <f>CAW</f>
        <v>23</v>
      </c>
      <c r="H5" s="77"/>
      <c r="I5" s="86" t="s">
        <v>93</v>
      </c>
      <c r="J5" s="87" t="s">
        <v>94</v>
      </c>
      <c r="K5" s="88" t="s">
        <v>95</v>
      </c>
      <c r="L5" s="77"/>
      <c r="M5" s="77"/>
      <c r="N5" s="14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77"/>
      <c r="B6" s="75" t="s">
        <v>96</v>
      </c>
      <c r="C6" s="89"/>
      <c r="D6" s="77"/>
      <c r="E6" s="77"/>
      <c r="F6" s="78" t="s">
        <v>97</v>
      </c>
      <c r="G6" s="90">
        <f>'1. Setup &amp; Recap'!G7</f>
        <v>0.12</v>
      </c>
      <c r="H6" s="77"/>
      <c r="I6" s="91" t="s">
        <v>98</v>
      </c>
      <c r="J6" s="92">
        <f>DSUM(F9:G998,F9,K5:K6)</f>
        <v>498.1</v>
      </c>
      <c r="K6" s="93" t="s">
        <v>99</v>
      </c>
      <c r="L6" s="77"/>
      <c r="M6" s="77"/>
      <c r="N6" s="14"/>
      <c r="O6" s="1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77"/>
      <c r="B7" s="75"/>
      <c r="C7" s="78"/>
      <c r="D7" s="77"/>
      <c r="E7" s="77"/>
      <c r="F7" s="78" t="s">
        <v>100</v>
      </c>
      <c r="G7" s="94">
        <f>'1. Setup &amp; Recap'!G6</f>
        <v>0.1</v>
      </c>
      <c r="H7" s="77"/>
      <c r="I7" s="77"/>
      <c r="J7" s="77"/>
      <c r="K7" s="77"/>
      <c r="L7" s="77"/>
      <c r="M7" s="77"/>
      <c r="N7" s="14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77"/>
      <c r="B8" s="75"/>
      <c r="C8" s="78"/>
      <c r="D8" s="77"/>
      <c r="E8" s="77"/>
      <c r="F8" s="95" t="s">
        <v>101</v>
      </c>
      <c r="G8" s="96"/>
      <c r="H8" s="97"/>
      <c r="I8" s="98" t="str">
        <f>F8*H8</f>
        <v>#VALUE!</v>
      </c>
      <c r="J8" s="98" t="str">
        <f>F8*H8</f>
        <v>#VALUE!</v>
      </c>
      <c r="K8" s="98" t="str">
        <f>F8*H8</f>
        <v>#VALUE!</v>
      </c>
      <c r="L8" s="98" t="str">
        <f>F8*H8</f>
        <v>#VALUE!</v>
      </c>
      <c r="M8" s="77"/>
      <c r="N8" s="14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78" t="s">
        <v>102</v>
      </c>
      <c r="B9" s="78" t="s">
        <v>103</v>
      </c>
      <c r="C9" s="78"/>
      <c r="D9" s="78"/>
      <c r="E9" s="78"/>
      <c r="F9" s="99" t="s">
        <v>94</v>
      </c>
      <c r="G9" s="100" t="s">
        <v>95</v>
      </c>
      <c r="H9" s="99" t="s">
        <v>104</v>
      </c>
      <c r="I9" s="99" t="s">
        <v>105</v>
      </c>
      <c r="J9" s="99" t="s">
        <v>36</v>
      </c>
      <c r="K9" s="99" t="s">
        <v>106</v>
      </c>
      <c r="L9" s="99" t="s">
        <v>107</v>
      </c>
      <c r="M9" s="77"/>
      <c r="N9" s="14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8.0" customHeight="1">
      <c r="A10" s="101"/>
      <c r="B10" s="102" t="s">
        <v>108</v>
      </c>
      <c r="C10" s="102"/>
      <c r="D10" s="102"/>
      <c r="E10" s="103"/>
      <c r="F10" s="104"/>
      <c r="G10" s="105"/>
      <c r="H10" s="104"/>
      <c r="I10" s="106">
        <f t="shared" ref="I10:L10" si="1">SUM(I11:I998)</f>
        <v>26873.59</v>
      </c>
      <c r="J10" s="106">
        <f t="shared" si="1"/>
        <v>11456.3</v>
      </c>
      <c r="K10" s="106">
        <f t="shared" si="1"/>
        <v>2338</v>
      </c>
      <c r="L10" s="106">
        <f t="shared" si="1"/>
        <v>59986</v>
      </c>
      <c r="M10" s="77"/>
      <c r="N10" s="14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8.0" customHeight="1">
      <c r="A11" s="107"/>
      <c r="B11" s="108" t="s">
        <v>35</v>
      </c>
      <c r="C11" s="109"/>
      <c r="D11" s="109"/>
      <c r="E11" s="109"/>
      <c r="F11" s="110"/>
      <c r="G11" s="110"/>
      <c r="H11" s="110"/>
      <c r="I11" s="111"/>
      <c r="J11" s="112"/>
      <c r="K11" s="113"/>
      <c r="L11" s="113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8.0" customHeight="1">
      <c r="A12" s="114"/>
      <c r="B12" s="115" t="s">
        <v>109</v>
      </c>
      <c r="C12" s="116"/>
      <c r="D12" s="116"/>
      <c r="E12" s="116"/>
      <c r="F12" s="117">
        <v>10.0</v>
      </c>
      <c r="G12" s="118" t="s">
        <v>110</v>
      </c>
      <c r="H12" s="119">
        <v>23.0</v>
      </c>
      <c r="I12" s="120">
        <f t="shared" ref="I12:I56" si="2">F12*H12</f>
        <v>230</v>
      </c>
      <c r="J12" s="121"/>
      <c r="K12" s="120"/>
      <c r="L12" s="121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8.0" customHeight="1">
      <c r="A13" s="114"/>
      <c r="B13" s="122" t="s">
        <v>111</v>
      </c>
      <c r="C13" s="116"/>
      <c r="D13" s="116"/>
      <c r="E13" s="116"/>
      <c r="F13" s="117">
        <v>788.0</v>
      </c>
      <c r="G13" s="118" t="s">
        <v>112</v>
      </c>
      <c r="H13" s="123">
        <v>4.75</v>
      </c>
      <c r="I13" s="120">
        <f t="shared" si="2"/>
        <v>3743</v>
      </c>
      <c r="J13" s="120"/>
      <c r="K13" s="121"/>
      <c r="L13" s="121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8.0" customHeight="1">
      <c r="A14" s="114"/>
      <c r="B14" s="21" t="s">
        <v>113</v>
      </c>
      <c r="C14" s="122"/>
      <c r="D14" s="116"/>
      <c r="E14" s="116"/>
      <c r="F14" s="117">
        <v>385.0</v>
      </c>
      <c r="G14" s="118" t="s">
        <v>114</v>
      </c>
      <c r="H14" s="123">
        <v>5.0</v>
      </c>
      <c r="I14" s="120">
        <f t="shared" si="2"/>
        <v>1925</v>
      </c>
      <c r="J14" s="120"/>
      <c r="K14" s="121"/>
      <c r="L14" s="121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8.0" customHeight="1">
      <c r="A15" s="114"/>
      <c r="B15" s="122" t="s">
        <v>115</v>
      </c>
      <c r="C15" s="116"/>
      <c r="D15" s="116"/>
      <c r="E15" s="116"/>
      <c r="F15" s="117">
        <v>51.0</v>
      </c>
      <c r="G15" s="118" t="s">
        <v>112</v>
      </c>
      <c r="H15" s="119">
        <v>5.25</v>
      </c>
      <c r="I15" s="120">
        <f t="shared" si="2"/>
        <v>267.75</v>
      </c>
      <c r="J15" s="121"/>
      <c r="K15" s="120"/>
      <c r="L15" s="121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8.0" customHeight="1">
      <c r="A16" s="114"/>
      <c r="B16" s="122" t="s">
        <v>116</v>
      </c>
      <c r="C16" s="116"/>
      <c r="D16" s="116"/>
      <c r="E16" s="116"/>
      <c r="F16" s="117">
        <v>10.0</v>
      </c>
      <c r="G16" s="118" t="s">
        <v>117</v>
      </c>
      <c r="H16" s="123">
        <v>165.0</v>
      </c>
      <c r="I16" s="120">
        <f t="shared" si="2"/>
        <v>1650</v>
      </c>
      <c r="J16" s="121"/>
      <c r="K16" s="120"/>
      <c r="L16" s="121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8.0" customHeight="1">
      <c r="A17" s="114"/>
      <c r="B17" s="21" t="s">
        <v>118</v>
      </c>
      <c r="C17" s="116"/>
      <c r="D17" s="116"/>
      <c r="E17" s="116"/>
      <c r="F17" s="117">
        <v>8.0</v>
      </c>
      <c r="G17" s="118" t="s">
        <v>119</v>
      </c>
      <c r="H17" s="119">
        <v>215.0</v>
      </c>
      <c r="I17" s="120">
        <f t="shared" si="2"/>
        <v>1720</v>
      </c>
      <c r="J17" s="124"/>
      <c r="K17" s="120"/>
      <c r="L17" s="124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8.0" customHeight="1">
      <c r="A18" s="107"/>
      <c r="B18" s="122" t="s">
        <v>120</v>
      </c>
      <c r="C18" s="122"/>
      <c r="D18" s="116"/>
      <c r="E18" s="116"/>
      <c r="F18" s="117">
        <v>5.0</v>
      </c>
      <c r="G18" s="125" t="s">
        <v>110</v>
      </c>
      <c r="H18" s="123">
        <v>118.0</v>
      </c>
      <c r="I18" s="120">
        <f t="shared" si="2"/>
        <v>590</v>
      </c>
      <c r="J18" s="120"/>
      <c r="K18" s="120"/>
      <c r="L18" s="120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8.0" customHeight="1">
      <c r="A19" s="107"/>
      <c r="B19" s="122" t="s">
        <v>121</v>
      </c>
      <c r="C19" s="122"/>
      <c r="D19" s="116"/>
      <c r="E19" s="116"/>
      <c r="F19" s="117">
        <v>1.5</v>
      </c>
      <c r="G19" s="118" t="s">
        <v>119</v>
      </c>
      <c r="H19" s="119">
        <v>300.0</v>
      </c>
      <c r="I19" s="120">
        <f t="shared" si="2"/>
        <v>450</v>
      </c>
      <c r="J19" s="120"/>
      <c r="K19" s="120"/>
      <c r="L19" s="120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8.0" customHeight="1">
      <c r="A20" s="107"/>
      <c r="B20" s="122" t="s">
        <v>122</v>
      </c>
      <c r="C20" s="122"/>
      <c r="D20" s="116"/>
      <c r="E20" s="116"/>
      <c r="F20" s="117">
        <v>10.0</v>
      </c>
      <c r="G20" s="118" t="s">
        <v>110</v>
      </c>
      <c r="H20" s="119">
        <v>95.0</v>
      </c>
      <c r="I20" s="120">
        <f t="shared" si="2"/>
        <v>950</v>
      </c>
      <c r="J20" s="120"/>
      <c r="K20" s="120"/>
      <c r="L20" s="121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8.0" customHeight="1">
      <c r="A21" s="107"/>
      <c r="B21" s="122" t="s">
        <v>123</v>
      </c>
      <c r="C21" s="122"/>
      <c r="D21" s="116"/>
      <c r="E21" s="116"/>
      <c r="F21" s="117">
        <v>2.0</v>
      </c>
      <c r="G21" s="118" t="s">
        <v>119</v>
      </c>
      <c r="H21" s="119">
        <v>48.67</v>
      </c>
      <c r="I21" s="120">
        <f t="shared" si="2"/>
        <v>97.34</v>
      </c>
      <c r="J21" s="120"/>
      <c r="K21" s="120"/>
      <c r="L21" s="126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8.0" customHeight="1">
      <c r="A22" s="114"/>
      <c r="B22" s="116" t="s">
        <v>124</v>
      </c>
      <c r="C22" s="116"/>
      <c r="D22" s="116"/>
      <c r="E22" s="116"/>
      <c r="F22" s="117">
        <v>43.0</v>
      </c>
      <c r="G22" s="118" t="s">
        <v>112</v>
      </c>
      <c r="H22" s="119">
        <v>15.0</v>
      </c>
      <c r="I22" s="120">
        <f t="shared" si="2"/>
        <v>645</v>
      </c>
      <c r="J22" s="120"/>
      <c r="K22" s="120"/>
      <c r="L22" s="124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8.0" customHeight="1">
      <c r="A23" s="114"/>
      <c r="B23" s="116" t="s">
        <v>125</v>
      </c>
      <c r="C23" s="116"/>
      <c r="D23" s="116"/>
      <c r="E23" s="116"/>
      <c r="F23" s="117">
        <v>200.0</v>
      </c>
      <c r="G23" s="125" t="s">
        <v>114</v>
      </c>
      <c r="H23" s="123">
        <v>11.0</v>
      </c>
      <c r="I23" s="120">
        <f t="shared" si="2"/>
        <v>2200</v>
      </c>
      <c r="J23" s="120"/>
      <c r="K23" s="120"/>
      <c r="L23" s="124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8.0" customHeight="1">
      <c r="A24" s="114"/>
      <c r="B24" s="116" t="s">
        <v>126</v>
      </c>
      <c r="C24" s="116"/>
      <c r="D24" s="116"/>
      <c r="E24" s="116"/>
      <c r="F24" s="117">
        <v>8.0</v>
      </c>
      <c r="G24" s="125" t="s">
        <v>114</v>
      </c>
      <c r="H24" s="123">
        <v>18.5</v>
      </c>
      <c r="I24" s="120">
        <f t="shared" si="2"/>
        <v>148</v>
      </c>
      <c r="J24" s="120"/>
      <c r="K24" s="120"/>
      <c r="L24" s="124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8.0" customHeight="1">
      <c r="A25" s="114"/>
      <c r="B25" s="117" t="s">
        <v>127</v>
      </c>
      <c r="C25" s="116"/>
      <c r="D25" s="116"/>
      <c r="E25" s="116"/>
      <c r="F25" s="117">
        <v>30.0</v>
      </c>
      <c r="G25" s="125" t="s">
        <v>119</v>
      </c>
      <c r="H25" s="119">
        <v>35.0</v>
      </c>
      <c r="I25" s="120">
        <f t="shared" si="2"/>
        <v>1050</v>
      </c>
      <c r="J25" s="120"/>
      <c r="K25" s="120"/>
      <c r="L25" s="124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8.0" customHeight="1">
      <c r="A26" s="114"/>
      <c r="B26" s="116" t="s">
        <v>128</v>
      </c>
      <c r="C26" s="116"/>
      <c r="D26" s="116"/>
      <c r="E26" s="116"/>
      <c r="F26" s="117">
        <v>5.0</v>
      </c>
      <c r="G26" s="125" t="s">
        <v>119</v>
      </c>
      <c r="H26" s="119">
        <v>45.0</v>
      </c>
      <c r="I26" s="120">
        <f t="shared" si="2"/>
        <v>225</v>
      </c>
      <c r="J26" s="120"/>
      <c r="K26" s="120"/>
      <c r="L26" s="124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8.0" customHeight="1">
      <c r="A27" s="114"/>
      <c r="B27" s="116" t="s">
        <v>129</v>
      </c>
      <c r="C27" s="116"/>
      <c r="D27" s="116"/>
      <c r="E27" s="116"/>
      <c r="F27" s="117">
        <v>12.0</v>
      </c>
      <c r="G27" s="125" t="s">
        <v>130</v>
      </c>
      <c r="H27" s="119">
        <v>45.0</v>
      </c>
      <c r="I27" s="120">
        <f t="shared" si="2"/>
        <v>540</v>
      </c>
      <c r="J27" s="120"/>
      <c r="K27" s="120"/>
      <c r="L27" s="124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8.0" customHeight="1">
      <c r="A28" s="114"/>
      <c r="B28" s="116" t="s">
        <v>131</v>
      </c>
      <c r="C28" s="116"/>
      <c r="D28" s="116"/>
      <c r="E28" s="116"/>
      <c r="F28" s="117">
        <v>385.0</v>
      </c>
      <c r="G28" s="125" t="s">
        <v>114</v>
      </c>
      <c r="H28" s="119">
        <v>2.5</v>
      </c>
      <c r="I28" s="120">
        <f t="shared" si="2"/>
        <v>962.5</v>
      </c>
      <c r="J28" s="120"/>
      <c r="K28" s="120"/>
      <c r="L28" s="124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8.0" customHeight="1">
      <c r="A29" s="114"/>
      <c r="B29" s="116" t="s">
        <v>132</v>
      </c>
      <c r="C29" s="116"/>
      <c r="D29" s="116"/>
      <c r="E29" s="116"/>
      <c r="F29" s="117">
        <v>40.0</v>
      </c>
      <c r="G29" s="125" t="s">
        <v>133</v>
      </c>
      <c r="H29" s="119">
        <v>12.0</v>
      </c>
      <c r="I29" s="120">
        <f t="shared" si="2"/>
        <v>480</v>
      </c>
      <c r="J29" s="120"/>
      <c r="K29" s="120"/>
      <c r="L29" s="124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8.0" customHeight="1">
      <c r="A30" s="107"/>
      <c r="B30" s="116" t="s">
        <v>134</v>
      </c>
      <c r="C30" s="116"/>
      <c r="D30" s="116"/>
      <c r="E30" s="116"/>
      <c r="F30" s="117">
        <v>2.0</v>
      </c>
      <c r="G30" s="125" t="s">
        <v>119</v>
      </c>
      <c r="H30" s="119">
        <v>55.0</v>
      </c>
      <c r="I30" s="120">
        <f t="shared" si="2"/>
        <v>110</v>
      </c>
      <c r="J30" s="120"/>
      <c r="K30" s="120"/>
      <c r="L30" s="124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8.0" customHeight="1">
      <c r="A31" s="114"/>
      <c r="B31" s="116" t="s">
        <v>135</v>
      </c>
      <c r="C31" s="116"/>
      <c r="D31" s="116"/>
      <c r="E31" s="116"/>
      <c r="F31" s="117">
        <v>5.0</v>
      </c>
      <c r="G31" s="125" t="s">
        <v>110</v>
      </c>
      <c r="H31" s="119">
        <v>30.0</v>
      </c>
      <c r="I31" s="120">
        <f t="shared" si="2"/>
        <v>150</v>
      </c>
      <c r="J31" s="120"/>
      <c r="K31" s="120"/>
      <c r="L31" s="124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8.0" customHeight="1">
      <c r="A32" s="114"/>
      <c r="B32" s="116" t="s">
        <v>136</v>
      </c>
      <c r="C32" s="116"/>
      <c r="D32" s="116"/>
      <c r="E32" s="116"/>
      <c r="F32" s="117">
        <v>1.0</v>
      </c>
      <c r="G32" s="125" t="s">
        <v>110</v>
      </c>
      <c r="H32" s="119">
        <v>30.0</v>
      </c>
      <c r="I32" s="120">
        <f t="shared" si="2"/>
        <v>30</v>
      </c>
      <c r="J32" s="120"/>
      <c r="K32" s="120"/>
      <c r="L32" s="124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8.0" customHeight="1">
      <c r="A33" s="114"/>
      <c r="B33" s="116" t="s">
        <v>137</v>
      </c>
      <c r="C33" s="116"/>
      <c r="D33" s="116"/>
      <c r="E33" s="116"/>
      <c r="F33" s="117">
        <v>3.0</v>
      </c>
      <c r="G33" s="125" t="s">
        <v>110</v>
      </c>
      <c r="H33" s="119">
        <v>30.0</v>
      </c>
      <c r="I33" s="120">
        <f t="shared" si="2"/>
        <v>90</v>
      </c>
      <c r="J33" s="120"/>
      <c r="K33" s="120"/>
      <c r="L33" s="124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8.0" customHeight="1">
      <c r="A34" s="114"/>
      <c r="B34" s="116" t="s">
        <v>138</v>
      </c>
      <c r="C34" s="116"/>
      <c r="D34" s="116"/>
      <c r="E34" s="116"/>
      <c r="F34" s="117">
        <v>3.0</v>
      </c>
      <c r="G34" s="125" t="s">
        <v>110</v>
      </c>
      <c r="H34" s="119">
        <v>25.0</v>
      </c>
      <c r="I34" s="120">
        <f t="shared" si="2"/>
        <v>75</v>
      </c>
      <c r="J34" s="120"/>
      <c r="K34" s="120"/>
      <c r="L34" s="124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8.0" customHeight="1">
      <c r="A35" s="114"/>
      <c r="B35" s="116" t="s">
        <v>139</v>
      </c>
      <c r="C35" s="116"/>
      <c r="D35" s="116"/>
      <c r="E35" s="116"/>
      <c r="F35" s="117">
        <v>8.0</v>
      </c>
      <c r="G35" s="125" t="s">
        <v>110</v>
      </c>
      <c r="H35" s="119">
        <v>35.0</v>
      </c>
      <c r="I35" s="120">
        <f t="shared" si="2"/>
        <v>280</v>
      </c>
      <c r="J35" s="120"/>
      <c r="K35" s="120"/>
      <c r="L35" s="124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8.0" customHeight="1">
      <c r="A36" s="114"/>
      <c r="B36" s="116" t="s">
        <v>140</v>
      </c>
      <c r="C36" s="116"/>
      <c r="D36" s="116"/>
      <c r="E36" s="116"/>
      <c r="F36" s="117">
        <v>7.0</v>
      </c>
      <c r="G36" s="125" t="s">
        <v>110</v>
      </c>
      <c r="H36" s="119">
        <v>28.0</v>
      </c>
      <c r="I36" s="120">
        <f t="shared" si="2"/>
        <v>196</v>
      </c>
      <c r="J36" s="120"/>
      <c r="K36" s="120"/>
      <c r="L36" s="124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8.0" customHeight="1">
      <c r="A37" s="107"/>
      <c r="B37" s="116" t="s">
        <v>141</v>
      </c>
      <c r="C37" s="116"/>
      <c r="D37" s="116"/>
      <c r="E37" s="116"/>
      <c r="F37" s="117">
        <v>1.0</v>
      </c>
      <c r="G37" s="125" t="s">
        <v>110</v>
      </c>
      <c r="H37" s="119">
        <v>30.0</v>
      </c>
      <c r="I37" s="120">
        <f t="shared" si="2"/>
        <v>30</v>
      </c>
      <c r="J37" s="120"/>
      <c r="K37" s="120"/>
      <c r="L37" s="124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8.0" customHeight="1">
      <c r="A38" s="114"/>
      <c r="B38" s="116" t="s">
        <v>142</v>
      </c>
      <c r="C38" s="116"/>
      <c r="D38" s="116"/>
      <c r="E38" s="116"/>
      <c r="F38" s="117">
        <v>1.0</v>
      </c>
      <c r="G38" s="125" t="s">
        <v>110</v>
      </c>
      <c r="H38" s="119">
        <v>30.0</v>
      </c>
      <c r="I38" s="120">
        <f t="shared" si="2"/>
        <v>30</v>
      </c>
      <c r="J38" s="120"/>
      <c r="K38" s="120"/>
      <c r="L38" s="124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8.0" customHeight="1">
      <c r="A39" s="114"/>
      <c r="B39" s="116" t="s">
        <v>143</v>
      </c>
      <c r="C39" s="116"/>
      <c r="D39" s="116"/>
      <c r="E39" s="116"/>
      <c r="F39" s="117">
        <v>11.0</v>
      </c>
      <c r="G39" s="125" t="s">
        <v>110</v>
      </c>
      <c r="H39" s="119">
        <v>28.0</v>
      </c>
      <c r="I39" s="120">
        <f t="shared" si="2"/>
        <v>308</v>
      </c>
      <c r="J39" s="120"/>
      <c r="K39" s="120"/>
      <c r="L39" s="124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8.0" customHeight="1">
      <c r="A40" s="114"/>
      <c r="B40" s="116" t="s">
        <v>144</v>
      </c>
      <c r="C40" s="116"/>
      <c r="D40" s="116"/>
      <c r="E40" s="116"/>
      <c r="F40" s="117">
        <v>4.0</v>
      </c>
      <c r="G40" s="125" t="s">
        <v>110</v>
      </c>
      <c r="H40" s="119">
        <v>28.0</v>
      </c>
      <c r="I40" s="120">
        <f t="shared" si="2"/>
        <v>112</v>
      </c>
      <c r="J40" s="120"/>
      <c r="K40" s="120"/>
      <c r="L40" s="124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8.0" customHeight="1">
      <c r="A41" s="114"/>
      <c r="B41" s="116" t="s">
        <v>145</v>
      </c>
      <c r="C41" s="116"/>
      <c r="D41" s="116"/>
      <c r="E41" s="116"/>
      <c r="F41" s="117">
        <v>6.0</v>
      </c>
      <c r="G41" s="125" t="s">
        <v>110</v>
      </c>
      <c r="H41" s="119">
        <v>30.0</v>
      </c>
      <c r="I41" s="120">
        <f t="shared" si="2"/>
        <v>180</v>
      </c>
      <c r="J41" s="120"/>
      <c r="K41" s="120"/>
      <c r="L41" s="124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8.0" customHeight="1">
      <c r="A42" s="114"/>
      <c r="B42" s="116" t="s">
        <v>146</v>
      </c>
      <c r="C42" s="116"/>
      <c r="D42" s="116"/>
      <c r="E42" s="116"/>
      <c r="F42" s="117">
        <v>4.0</v>
      </c>
      <c r="G42" s="125" t="s">
        <v>110</v>
      </c>
      <c r="H42" s="119">
        <v>30.0</v>
      </c>
      <c r="I42" s="120">
        <f t="shared" si="2"/>
        <v>120</v>
      </c>
      <c r="J42" s="120"/>
      <c r="K42" s="120"/>
      <c r="L42" s="124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8.0" customHeight="1">
      <c r="A43" s="114"/>
      <c r="B43" s="116" t="s">
        <v>147</v>
      </c>
      <c r="C43" s="116"/>
      <c r="D43" s="116"/>
      <c r="E43" s="116"/>
      <c r="F43" s="117">
        <v>1.0</v>
      </c>
      <c r="G43" s="125" t="s">
        <v>110</v>
      </c>
      <c r="H43" s="119">
        <v>32.0</v>
      </c>
      <c r="I43" s="120">
        <f t="shared" si="2"/>
        <v>32</v>
      </c>
      <c r="J43" s="120"/>
      <c r="K43" s="120"/>
      <c r="L43" s="124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8.0" customHeight="1">
      <c r="A44" s="114"/>
      <c r="B44" s="116" t="s">
        <v>148</v>
      </c>
      <c r="C44" s="116"/>
      <c r="D44" s="116"/>
      <c r="E44" s="116"/>
      <c r="F44" s="117">
        <v>6.0</v>
      </c>
      <c r="G44" s="125" t="s">
        <v>110</v>
      </c>
      <c r="H44" s="119">
        <v>30.0</v>
      </c>
      <c r="I44" s="120">
        <f t="shared" si="2"/>
        <v>180</v>
      </c>
      <c r="J44" s="120"/>
      <c r="K44" s="120"/>
      <c r="L44" s="124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8.0" customHeight="1">
      <c r="A45" s="114"/>
      <c r="B45" s="116" t="s">
        <v>149</v>
      </c>
      <c r="C45" s="116"/>
      <c r="D45" s="116"/>
      <c r="E45" s="116"/>
      <c r="F45" s="117">
        <v>1.0</v>
      </c>
      <c r="G45" s="125" t="s">
        <v>110</v>
      </c>
      <c r="H45" s="119">
        <v>32.0</v>
      </c>
      <c r="I45" s="120">
        <f t="shared" si="2"/>
        <v>32</v>
      </c>
      <c r="J45" s="120"/>
      <c r="K45" s="120"/>
      <c r="L45" s="124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8.0" customHeight="1">
      <c r="A46" s="107"/>
      <c r="B46" s="116" t="s">
        <v>150</v>
      </c>
      <c r="C46" s="116"/>
      <c r="D46" s="116"/>
      <c r="E46" s="116"/>
      <c r="F46" s="117">
        <v>1.0</v>
      </c>
      <c r="G46" s="125" t="s">
        <v>110</v>
      </c>
      <c r="H46" s="119">
        <v>35.0</v>
      </c>
      <c r="I46" s="120">
        <f t="shared" si="2"/>
        <v>35</v>
      </c>
      <c r="J46" s="120"/>
      <c r="K46" s="120"/>
      <c r="L46" s="124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8.0" customHeight="1">
      <c r="A47" s="107"/>
      <c r="B47" s="116" t="s">
        <v>151</v>
      </c>
      <c r="C47" s="116"/>
      <c r="D47" s="116"/>
      <c r="E47" s="116"/>
      <c r="F47" s="117">
        <v>5.0</v>
      </c>
      <c r="G47" s="125" t="s">
        <v>110</v>
      </c>
      <c r="H47" s="119">
        <v>28.0</v>
      </c>
      <c r="I47" s="120">
        <f t="shared" si="2"/>
        <v>140</v>
      </c>
      <c r="J47" s="120"/>
      <c r="K47" s="120"/>
      <c r="L47" s="124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8.0" customHeight="1">
      <c r="A48" s="114"/>
      <c r="B48" s="116" t="s">
        <v>152</v>
      </c>
      <c r="C48" s="116"/>
      <c r="D48" s="116"/>
      <c r="E48" s="116"/>
      <c r="F48" s="117">
        <v>1.0</v>
      </c>
      <c r="G48" s="125" t="s">
        <v>110</v>
      </c>
      <c r="H48" s="119">
        <v>30.0</v>
      </c>
      <c r="I48" s="120">
        <f t="shared" si="2"/>
        <v>30</v>
      </c>
      <c r="J48" s="120"/>
      <c r="K48" s="120"/>
      <c r="L48" s="124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8.0" customHeight="1">
      <c r="A49" s="114"/>
      <c r="B49" s="116" t="s">
        <v>153</v>
      </c>
      <c r="C49" s="116"/>
      <c r="D49" s="116"/>
      <c r="E49" s="116"/>
      <c r="F49" s="117">
        <v>1.0</v>
      </c>
      <c r="G49" s="125" t="s">
        <v>110</v>
      </c>
      <c r="H49" s="119">
        <v>30.0</v>
      </c>
      <c r="I49" s="120">
        <f t="shared" si="2"/>
        <v>30</v>
      </c>
      <c r="J49" s="120"/>
      <c r="K49" s="120"/>
      <c r="L49" s="124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8.0" customHeight="1">
      <c r="A50" s="114"/>
      <c r="B50" s="116" t="s">
        <v>154</v>
      </c>
      <c r="C50" s="116"/>
      <c r="D50" s="116"/>
      <c r="E50" s="116"/>
      <c r="F50" s="117">
        <v>1.0</v>
      </c>
      <c r="G50" s="125" t="s">
        <v>110</v>
      </c>
      <c r="H50" s="119">
        <v>185.0</v>
      </c>
      <c r="I50" s="120">
        <f t="shared" si="2"/>
        <v>185</v>
      </c>
      <c r="J50" s="120"/>
      <c r="K50" s="120"/>
      <c r="L50" s="124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8.0" customHeight="1">
      <c r="A51" s="114"/>
      <c r="B51" s="116" t="s">
        <v>155</v>
      </c>
      <c r="C51" s="116"/>
      <c r="D51" s="116"/>
      <c r="E51" s="116"/>
      <c r="F51" s="117">
        <v>1.0</v>
      </c>
      <c r="G51" s="125" t="s">
        <v>110</v>
      </c>
      <c r="H51" s="119">
        <v>165.0</v>
      </c>
      <c r="I51" s="120">
        <f t="shared" si="2"/>
        <v>165</v>
      </c>
      <c r="J51" s="120"/>
      <c r="K51" s="120"/>
      <c r="L51" s="124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8.0" customHeight="1">
      <c r="A52" s="114"/>
      <c r="B52" s="116" t="s">
        <v>156</v>
      </c>
      <c r="C52" s="116"/>
      <c r="D52" s="116"/>
      <c r="E52" s="116"/>
      <c r="F52" s="117">
        <v>1.0</v>
      </c>
      <c r="G52" s="125" t="s">
        <v>110</v>
      </c>
      <c r="H52" s="119">
        <v>180.0</v>
      </c>
      <c r="I52" s="120">
        <f t="shared" si="2"/>
        <v>180</v>
      </c>
      <c r="J52" s="120"/>
      <c r="K52" s="120"/>
      <c r="L52" s="124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8.0" customHeight="1">
      <c r="A53" s="114"/>
      <c r="B53" s="116" t="s">
        <v>157</v>
      </c>
      <c r="C53" s="116"/>
      <c r="D53" s="116"/>
      <c r="E53" s="116"/>
      <c r="F53" s="117">
        <v>2.0</v>
      </c>
      <c r="G53" s="125" t="s">
        <v>110</v>
      </c>
      <c r="H53" s="119">
        <v>120.0</v>
      </c>
      <c r="I53" s="120">
        <f t="shared" si="2"/>
        <v>240</v>
      </c>
      <c r="J53" s="120"/>
      <c r="K53" s="120"/>
      <c r="L53" s="124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8.0" customHeight="1">
      <c r="A54" s="114"/>
      <c r="B54" s="116" t="s">
        <v>158</v>
      </c>
      <c r="C54" s="116"/>
      <c r="D54" s="116"/>
      <c r="E54" s="116"/>
      <c r="F54" s="117">
        <v>1.0</v>
      </c>
      <c r="G54" s="125" t="s">
        <v>110</v>
      </c>
      <c r="H54" s="119">
        <v>180.0</v>
      </c>
      <c r="I54" s="120">
        <f t="shared" si="2"/>
        <v>180</v>
      </c>
      <c r="J54" s="120"/>
      <c r="K54" s="120"/>
      <c r="L54" s="124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8.0" customHeight="1">
      <c r="A55" s="114"/>
      <c r="B55" s="116" t="s">
        <v>159</v>
      </c>
      <c r="C55" s="116"/>
      <c r="D55" s="116"/>
      <c r="E55" s="116"/>
      <c r="F55" s="117">
        <v>1.0</v>
      </c>
      <c r="G55" s="125" t="s">
        <v>110</v>
      </c>
      <c r="H55" s="119">
        <v>160.0</v>
      </c>
      <c r="I55" s="120">
        <f t="shared" si="2"/>
        <v>160</v>
      </c>
      <c r="J55" s="120"/>
      <c r="K55" s="120"/>
      <c r="L55" s="124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8.0" customHeight="1">
      <c r="A56" s="114"/>
      <c r="B56" s="116" t="s">
        <v>160</v>
      </c>
      <c r="C56" s="116"/>
      <c r="D56" s="116"/>
      <c r="E56" s="116"/>
      <c r="F56" s="117">
        <v>1.0</v>
      </c>
      <c r="G56" s="125" t="s">
        <v>110</v>
      </c>
      <c r="H56" s="119">
        <v>190.0</v>
      </c>
      <c r="I56" s="120">
        <f t="shared" si="2"/>
        <v>190</v>
      </c>
      <c r="J56" s="120"/>
      <c r="K56" s="120"/>
      <c r="L56" s="124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8.0" customHeight="1">
      <c r="A57" s="107"/>
      <c r="B57" s="116" t="s">
        <v>161</v>
      </c>
      <c r="C57" s="116"/>
      <c r="D57" s="116"/>
      <c r="E57" s="116"/>
      <c r="F57" s="117">
        <v>200.0</v>
      </c>
      <c r="G57" s="125" t="s">
        <v>130</v>
      </c>
      <c r="H57" s="119">
        <v>10.0</v>
      </c>
      <c r="I57" s="120">
        <v>5510.0</v>
      </c>
      <c r="J57" s="120"/>
      <c r="K57" s="120"/>
      <c r="L57" s="124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8.0" customHeight="1">
      <c r="A58" s="107"/>
      <c r="B58" s="127" t="s">
        <v>36</v>
      </c>
      <c r="C58" s="116"/>
      <c r="D58" s="116"/>
      <c r="E58" s="116"/>
      <c r="F58" s="117"/>
      <c r="G58" s="125"/>
      <c r="H58" s="119"/>
      <c r="I58" s="120"/>
      <c r="J58" s="120"/>
      <c r="K58" s="120"/>
      <c r="L58" s="124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8.0" customHeight="1">
      <c r="A59" s="114"/>
      <c r="B59" s="116" t="s">
        <v>162</v>
      </c>
      <c r="C59" s="116"/>
      <c r="D59" s="116"/>
      <c r="E59" s="116"/>
      <c r="F59" s="117">
        <v>7.5</v>
      </c>
      <c r="G59" s="118" t="s">
        <v>99</v>
      </c>
      <c r="H59" s="119">
        <v>23.0</v>
      </c>
      <c r="I59" s="120"/>
      <c r="J59" s="120">
        <f t="shared" ref="J59:J75" si="3">F59*H59</f>
        <v>172.5</v>
      </c>
      <c r="K59" s="120"/>
      <c r="L59" s="124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8.0" customHeight="1">
      <c r="A60" s="114"/>
      <c r="B60" s="116" t="s">
        <v>163</v>
      </c>
      <c r="C60" s="116"/>
      <c r="D60" s="116"/>
      <c r="E60" s="116"/>
      <c r="F60" s="117">
        <v>94.6</v>
      </c>
      <c r="G60" s="118" t="s">
        <v>99</v>
      </c>
      <c r="H60" s="119">
        <v>23.0</v>
      </c>
      <c r="I60" s="120"/>
      <c r="J60" s="120">
        <f t="shared" si="3"/>
        <v>2175.8</v>
      </c>
      <c r="K60" s="120"/>
      <c r="L60" s="124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8.0" customHeight="1">
      <c r="A61" s="114"/>
      <c r="B61" s="116" t="s">
        <v>164</v>
      </c>
      <c r="C61" s="116"/>
      <c r="D61" s="116"/>
      <c r="E61" s="116"/>
      <c r="F61" s="117">
        <v>38.5</v>
      </c>
      <c r="G61" s="118" t="s">
        <v>99</v>
      </c>
      <c r="H61" s="119">
        <v>23.0</v>
      </c>
      <c r="I61" s="120"/>
      <c r="J61" s="120">
        <f t="shared" si="3"/>
        <v>885.5</v>
      </c>
      <c r="K61" s="120"/>
      <c r="L61" s="124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8.0" customHeight="1">
      <c r="A62" s="114"/>
      <c r="B62" s="116" t="s">
        <v>165</v>
      </c>
      <c r="C62" s="116"/>
      <c r="D62" s="116"/>
      <c r="E62" s="116"/>
      <c r="F62" s="117">
        <v>20.4</v>
      </c>
      <c r="G62" s="118" t="s">
        <v>99</v>
      </c>
      <c r="H62" s="119">
        <v>23.0</v>
      </c>
      <c r="I62" s="120"/>
      <c r="J62" s="120">
        <f t="shared" si="3"/>
        <v>469.2</v>
      </c>
      <c r="K62" s="120"/>
      <c r="L62" s="124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8.0" customHeight="1">
      <c r="A63" s="114"/>
      <c r="B63" s="116" t="s">
        <v>166</v>
      </c>
      <c r="C63" s="116"/>
      <c r="D63" s="116"/>
      <c r="E63" s="116"/>
      <c r="F63" s="117">
        <v>114.8</v>
      </c>
      <c r="G63" s="118" t="s">
        <v>99</v>
      </c>
      <c r="H63" s="119">
        <v>23.0</v>
      </c>
      <c r="I63" s="120"/>
      <c r="J63" s="120">
        <f t="shared" si="3"/>
        <v>2640.4</v>
      </c>
      <c r="K63" s="120"/>
      <c r="L63" s="124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8.0" customHeight="1">
      <c r="A64" s="114"/>
      <c r="B64" s="116" t="s">
        <v>167</v>
      </c>
      <c r="C64" s="116"/>
      <c r="D64" s="116"/>
      <c r="E64" s="116"/>
      <c r="F64" s="117">
        <v>13.5</v>
      </c>
      <c r="G64" s="118" t="s">
        <v>99</v>
      </c>
      <c r="H64" s="119">
        <v>23.0</v>
      </c>
      <c r="I64" s="120"/>
      <c r="J64" s="120">
        <f t="shared" si="3"/>
        <v>310.5</v>
      </c>
      <c r="K64" s="120"/>
      <c r="L64" s="124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8.0" customHeight="1">
      <c r="A65" s="114"/>
      <c r="B65" s="116" t="s">
        <v>168</v>
      </c>
      <c r="C65" s="116"/>
      <c r="D65" s="116"/>
      <c r="E65" s="116"/>
      <c r="F65" s="117">
        <v>2.5</v>
      </c>
      <c r="G65" s="118" t="s">
        <v>99</v>
      </c>
      <c r="H65" s="119">
        <v>23.0</v>
      </c>
      <c r="I65" s="120"/>
      <c r="J65" s="120">
        <f t="shared" si="3"/>
        <v>57.5</v>
      </c>
      <c r="K65" s="120"/>
      <c r="L65" s="124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8.0" customHeight="1">
      <c r="A66" s="114"/>
      <c r="B66" s="116" t="s">
        <v>169</v>
      </c>
      <c r="C66" s="116"/>
      <c r="D66" s="116"/>
      <c r="E66" s="116"/>
      <c r="F66" s="117">
        <v>22.8</v>
      </c>
      <c r="G66" s="118" t="s">
        <v>99</v>
      </c>
      <c r="H66" s="119">
        <v>23.0</v>
      </c>
      <c r="I66" s="120"/>
      <c r="J66" s="120">
        <f t="shared" si="3"/>
        <v>524.4</v>
      </c>
      <c r="K66" s="120"/>
      <c r="L66" s="124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8.0" customHeight="1">
      <c r="A67" s="107"/>
      <c r="B67" s="116" t="s">
        <v>170</v>
      </c>
      <c r="C67" s="116"/>
      <c r="D67" s="116"/>
      <c r="E67" s="116"/>
      <c r="F67" s="117">
        <v>15.0</v>
      </c>
      <c r="G67" s="118" t="s">
        <v>99</v>
      </c>
      <c r="H67" s="119">
        <v>23.0</v>
      </c>
      <c r="I67" s="120"/>
      <c r="J67" s="120">
        <f t="shared" si="3"/>
        <v>345</v>
      </c>
      <c r="K67" s="120"/>
      <c r="L67" s="124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8.0" customHeight="1">
      <c r="A68" s="114"/>
      <c r="B68" s="116" t="s">
        <v>171</v>
      </c>
      <c r="C68" s="116"/>
      <c r="D68" s="116"/>
      <c r="E68" s="116"/>
      <c r="F68" s="117">
        <v>2.0</v>
      </c>
      <c r="G68" s="118" t="s">
        <v>99</v>
      </c>
      <c r="H68" s="119">
        <v>23.0</v>
      </c>
      <c r="I68" s="120"/>
      <c r="J68" s="120">
        <f t="shared" si="3"/>
        <v>46</v>
      </c>
      <c r="K68" s="120"/>
      <c r="L68" s="124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8.0" customHeight="1">
      <c r="A69" s="114"/>
      <c r="B69" s="116" t="s">
        <v>172</v>
      </c>
      <c r="C69" s="116"/>
      <c r="D69" s="116"/>
      <c r="E69" s="116"/>
      <c r="F69" s="117">
        <v>21.5</v>
      </c>
      <c r="G69" s="118" t="s">
        <v>99</v>
      </c>
      <c r="H69" s="119">
        <v>23.0</v>
      </c>
      <c r="I69" s="120"/>
      <c r="J69" s="120">
        <f t="shared" si="3"/>
        <v>494.5</v>
      </c>
      <c r="K69" s="120"/>
      <c r="L69" s="124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8.0" customHeight="1">
      <c r="A70" s="114"/>
      <c r="B70" s="116" t="s">
        <v>173</v>
      </c>
      <c r="C70" s="116"/>
      <c r="D70" s="116"/>
      <c r="E70" s="116"/>
      <c r="F70" s="117">
        <v>40.0</v>
      </c>
      <c r="G70" s="118" t="s">
        <v>99</v>
      </c>
      <c r="H70" s="119">
        <v>23.0</v>
      </c>
      <c r="I70" s="120"/>
      <c r="J70" s="120">
        <f t="shared" si="3"/>
        <v>920</v>
      </c>
      <c r="K70" s="120"/>
      <c r="L70" s="124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8.0" customHeight="1">
      <c r="A71" s="114"/>
      <c r="B71" s="116" t="s">
        <v>174</v>
      </c>
      <c r="C71" s="116"/>
      <c r="D71" s="116"/>
      <c r="E71" s="116"/>
      <c r="F71" s="117">
        <v>6.0</v>
      </c>
      <c r="G71" s="118" t="s">
        <v>99</v>
      </c>
      <c r="H71" s="119">
        <v>23.0</v>
      </c>
      <c r="I71" s="120"/>
      <c r="J71" s="120">
        <f t="shared" si="3"/>
        <v>138</v>
      </c>
      <c r="K71" s="120"/>
      <c r="L71" s="124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8.0" customHeight="1">
      <c r="A72" s="114"/>
      <c r="B72" s="116" t="s">
        <v>175</v>
      </c>
      <c r="C72" s="116"/>
      <c r="D72" s="116"/>
      <c r="E72" s="116"/>
      <c r="F72" s="117">
        <v>18.0</v>
      </c>
      <c r="G72" s="118" t="s">
        <v>99</v>
      </c>
      <c r="H72" s="119">
        <v>23.0</v>
      </c>
      <c r="I72" s="120"/>
      <c r="J72" s="120">
        <f t="shared" si="3"/>
        <v>414</v>
      </c>
      <c r="K72" s="120"/>
      <c r="L72" s="124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8.0" customHeight="1">
      <c r="A73" s="114"/>
      <c r="B73" s="116" t="s">
        <v>176</v>
      </c>
      <c r="C73" s="116"/>
      <c r="D73" s="116"/>
      <c r="E73" s="116"/>
      <c r="F73" s="117">
        <v>35.0</v>
      </c>
      <c r="G73" s="118" t="s">
        <v>99</v>
      </c>
      <c r="H73" s="119">
        <v>23.0</v>
      </c>
      <c r="I73" s="120"/>
      <c r="J73" s="120">
        <f t="shared" si="3"/>
        <v>805</v>
      </c>
      <c r="K73" s="120"/>
      <c r="L73" s="124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8.0" customHeight="1">
      <c r="A74" s="107"/>
      <c r="B74" s="116" t="s">
        <v>177</v>
      </c>
      <c r="C74" s="116"/>
      <c r="D74" s="116"/>
      <c r="E74" s="116"/>
      <c r="F74" s="117">
        <v>16.0</v>
      </c>
      <c r="G74" s="118" t="s">
        <v>99</v>
      </c>
      <c r="H74" s="119">
        <v>23.0</v>
      </c>
      <c r="I74" s="120"/>
      <c r="J74" s="120">
        <f t="shared" si="3"/>
        <v>368</v>
      </c>
      <c r="K74" s="120"/>
      <c r="L74" s="124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8.0" customHeight="1">
      <c r="A75" s="107"/>
      <c r="B75" s="122" t="s">
        <v>178</v>
      </c>
      <c r="C75" s="116"/>
      <c r="D75" s="116"/>
      <c r="E75" s="116"/>
      <c r="F75" s="117">
        <v>30.0</v>
      </c>
      <c r="G75" s="118" t="s">
        <v>99</v>
      </c>
      <c r="H75" s="119">
        <v>23.0</v>
      </c>
      <c r="I75" s="120"/>
      <c r="J75" s="120">
        <f t="shared" si="3"/>
        <v>690</v>
      </c>
      <c r="K75" s="120"/>
      <c r="L75" s="124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8.0" customHeight="1">
      <c r="A76" s="114"/>
      <c r="B76" s="128" t="s">
        <v>37</v>
      </c>
      <c r="C76" s="116"/>
      <c r="D76" s="116"/>
      <c r="E76" s="116"/>
      <c r="F76" s="117"/>
      <c r="G76" s="125"/>
      <c r="H76" s="119"/>
      <c r="I76" s="120"/>
      <c r="J76" s="120"/>
      <c r="K76" s="120"/>
      <c r="L76" s="124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8.0" customHeight="1">
      <c r="A77" s="114"/>
      <c r="B77" s="116" t="s">
        <v>179</v>
      </c>
      <c r="C77" s="116"/>
      <c r="D77" s="116"/>
      <c r="E77" s="116"/>
      <c r="F77" s="117">
        <v>18.0</v>
      </c>
      <c r="G77" s="125" t="s">
        <v>180</v>
      </c>
      <c r="H77" s="119">
        <v>38.5</v>
      </c>
      <c r="I77" s="120"/>
      <c r="J77" s="120"/>
      <c r="K77" s="120">
        <f t="shared" ref="K77:K83" si="4">F77*H77</f>
        <v>693</v>
      </c>
      <c r="L77" s="124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8.0" customHeight="1">
      <c r="A78" s="114"/>
      <c r="B78" s="116" t="s">
        <v>181</v>
      </c>
      <c r="C78" s="116"/>
      <c r="D78" s="116"/>
      <c r="E78" s="116"/>
      <c r="F78" s="117">
        <v>8.0</v>
      </c>
      <c r="G78" s="125" t="s">
        <v>180</v>
      </c>
      <c r="H78" s="119">
        <v>8.5</v>
      </c>
      <c r="I78" s="120"/>
      <c r="J78" s="120"/>
      <c r="K78" s="120">
        <f t="shared" si="4"/>
        <v>68</v>
      </c>
      <c r="L78" s="124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8.0" customHeight="1">
      <c r="A79" s="114"/>
      <c r="B79" s="116" t="s">
        <v>182</v>
      </c>
      <c r="C79" s="116"/>
      <c r="D79" s="116"/>
      <c r="E79" s="116"/>
      <c r="F79" s="117">
        <v>10.0</v>
      </c>
      <c r="G79" s="125" t="s">
        <v>180</v>
      </c>
      <c r="H79" s="119">
        <v>12.0</v>
      </c>
      <c r="I79" s="120"/>
      <c r="J79" s="120"/>
      <c r="K79" s="120">
        <f t="shared" si="4"/>
        <v>120</v>
      </c>
      <c r="L79" s="124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8.0" customHeight="1">
      <c r="A80" s="114"/>
      <c r="B80" s="110" t="s">
        <v>183</v>
      </c>
      <c r="C80" s="116"/>
      <c r="D80" s="116"/>
      <c r="E80" s="116"/>
      <c r="F80" s="117">
        <v>14.0</v>
      </c>
      <c r="G80" s="125" t="s">
        <v>180</v>
      </c>
      <c r="H80" s="123">
        <v>42.0</v>
      </c>
      <c r="I80" s="120"/>
      <c r="J80" s="120"/>
      <c r="K80" s="120">
        <f t="shared" si="4"/>
        <v>588</v>
      </c>
      <c r="L80" s="124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8.0" customHeight="1">
      <c r="A81" s="114"/>
      <c r="B81" s="122" t="s">
        <v>184</v>
      </c>
      <c r="C81" s="122"/>
      <c r="D81" s="116"/>
      <c r="E81" s="116"/>
      <c r="F81" s="117">
        <v>6.0</v>
      </c>
      <c r="G81" s="125" t="s">
        <v>180</v>
      </c>
      <c r="H81" s="123">
        <v>6.5</v>
      </c>
      <c r="I81" s="120"/>
      <c r="J81" s="120"/>
      <c r="K81" s="120">
        <f t="shared" si="4"/>
        <v>39</v>
      </c>
      <c r="L81" s="124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8.0" customHeight="1">
      <c r="A82" s="114"/>
      <c r="B82" s="21" t="s">
        <v>185</v>
      </c>
      <c r="C82" s="122"/>
      <c r="D82" s="116"/>
      <c r="E82" s="116"/>
      <c r="F82" s="117">
        <v>8.0</v>
      </c>
      <c r="G82" s="125" t="s">
        <v>180</v>
      </c>
      <c r="H82" s="123">
        <v>55.0</v>
      </c>
      <c r="I82" s="120"/>
      <c r="J82" s="120"/>
      <c r="K82" s="120">
        <f t="shared" si="4"/>
        <v>440</v>
      </c>
      <c r="L82" s="120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8.0" customHeight="1">
      <c r="A83" s="114"/>
      <c r="B83" s="122" t="s">
        <v>186</v>
      </c>
      <c r="C83" s="116"/>
      <c r="D83" s="116"/>
      <c r="E83" s="116"/>
      <c r="F83" s="117">
        <v>6.0</v>
      </c>
      <c r="G83" s="125" t="s">
        <v>180</v>
      </c>
      <c r="H83" s="123">
        <v>65.0</v>
      </c>
      <c r="I83" s="120"/>
      <c r="J83" s="120"/>
      <c r="K83" s="120">
        <f t="shared" si="4"/>
        <v>390</v>
      </c>
      <c r="L83" s="124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8.0" customHeight="1">
      <c r="A84" s="107"/>
      <c r="B84" s="127" t="s">
        <v>187</v>
      </c>
      <c r="C84" s="116"/>
      <c r="D84" s="116"/>
      <c r="E84" s="116"/>
      <c r="F84" s="117"/>
      <c r="G84" s="125"/>
      <c r="H84" s="123"/>
      <c r="I84" s="120"/>
      <c r="J84" s="124"/>
      <c r="K84" s="124"/>
      <c r="L84" s="124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8.0" customHeight="1">
      <c r="A85" s="107"/>
      <c r="B85" s="122" t="s">
        <v>188</v>
      </c>
      <c r="C85" s="116"/>
      <c r="D85" s="116"/>
      <c r="E85" s="116"/>
      <c r="F85" s="117">
        <v>1.0</v>
      </c>
      <c r="G85" s="125" t="s">
        <v>189</v>
      </c>
      <c r="H85" s="123">
        <v>55575.0</v>
      </c>
      <c r="I85" s="120"/>
      <c r="J85" s="124"/>
      <c r="K85" s="124"/>
      <c r="L85" s="129">
        <f t="shared" ref="L85:L87" si="5">F85*H85</f>
        <v>55575</v>
      </c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8.0" customHeight="1">
      <c r="A86" s="114"/>
      <c r="B86" s="122" t="s">
        <v>190</v>
      </c>
      <c r="C86" s="116"/>
      <c r="D86" s="116"/>
      <c r="E86" s="116"/>
      <c r="F86" s="117">
        <v>1.0</v>
      </c>
      <c r="G86" s="125" t="s">
        <v>189</v>
      </c>
      <c r="H86" s="123">
        <v>2657.0</v>
      </c>
      <c r="I86" s="120"/>
      <c r="J86" s="126"/>
      <c r="K86" s="126"/>
      <c r="L86" s="129">
        <f t="shared" si="5"/>
        <v>2657</v>
      </c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8.0" customHeight="1">
      <c r="A87" s="114"/>
      <c r="B87" s="122" t="s">
        <v>191</v>
      </c>
      <c r="C87" s="116"/>
      <c r="D87" s="116"/>
      <c r="E87" s="116"/>
      <c r="F87" s="117">
        <v>1.0</v>
      </c>
      <c r="G87" s="125" t="s">
        <v>189</v>
      </c>
      <c r="H87" s="123">
        <v>1754.0</v>
      </c>
      <c r="I87" s="130"/>
      <c r="J87" s="124"/>
      <c r="K87" s="126"/>
      <c r="L87" s="129">
        <f t="shared" si="5"/>
        <v>1754</v>
      </c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8.0" customHeight="1">
      <c r="A88" s="114"/>
      <c r="B88" s="114"/>
      <c r="C88" s="114"/>
      <c r="D88" s="114"/>
      <c r="E88" s="114"/>
      <c r="F88" s="131"/>
      <c r="G88" s="132"/>
      <c r="H88" s="133"/>
      <c r="I88" s="112"/>
      <c r="J88" s="112"/>
      <c r="K88" s="112"/>
      <c r="L88" s="112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8.0" customHeight="1">
      <c r="A89" s="114"/>
      <c r="B89" s="114"/>
      <c r="C89" s="114"/>
      <c r="D89" s="114"/>
      <c r="E89" s="114"/>
      <c r="F89" s="131"/>
      <c r="G89" s="132"/>
      <c r="H89" s="133"/>
      <c r="I89" s="112"/>
      <c r="J89" s="112"/>
      <c r="K89" s="112"/>
      <c r="L89" s="112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8.0" customHeight="1">
      <c r="A90" s="114"/>
      <c r="B90" s="114"/>
      <c r="C90" s="114"/>
      <c r="D90" s="114"/>
      <c r="E90" s="114"/>
      <c r="F90" s="131"/>
      <c r="G90" s="132"/>
      <c r="H90" s="133"/>
      <c r="I90" s="112"/>
      <c r="J90" s="112"/>
      <c r="K90" s="112"/>
      <c r="L90" s="112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8.0" customHeight="1">
      <c r="A91" s="114"/>
      <c r="B91" s="114"/>
      <c r="C91" s="114"/>
      <c r="D91" s="114"/>
      <c r="E91" s="114"/>
      <c r="F91" s="131"/>
      <c r="G91" s="132"/>
      <c r="H91" s="133"/>
      <c r="I91" s="112"/>
      <c r="J91" s="112"/>
      <c r="K91" s="112"/>
      <c r="L91" s="112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8.0" customHeight="1">
      <c r="A92" s="114"/>
      <c r="B92" s="114"/>
      <c r="C92" s="114"/>
      <c r="D92" s="114"/>
      <c r="E92" s="114"/>
      <c r="F92" s="131"/>
      <c r="G92" s="132"/>
      <c r="H92" s="133"/>
      <c r="I92" s="112"/>
      <c r="J92" s="112"/>
      <c r="K92" s="112"/>
      <c r="L92" s="112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8.0" customHeight="1">
      <c r="A93" s="114"/>
      <c r="B93" s="114"/>
      <c r="C93" s="114"/>
      <c r="D93" s="114"/>
      <c r="E93" s="114"/>
      <c r="F93" s="131"/>
      <c r="G93" s="132"/>
      <c r="H93" s="133"/>
      <c r="I93" s="112"/>
      <c r="J93" s="112"/>
      <c r="K93" s="112"/>
      <c r="L93" s="112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8.0" customHeight="1">
      <c r="A94" s="114"/>
      <c r="B94" s="114"/>
      <c r="C94" s="114"/>
      <c r="D94" s="114"/>
      <c r="E94" s="114"/>
      <c r="F94" s="131"/>
      <c r="G94" s="132"/>
      <c r="H94" s="133"/>
      <c r="I94" s="112"/>
      <c r="J94" s="112"/>
      <c r="K94" s="112"/>
      <c r="L94" s="112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8.0" customHeight="1">
      <c r="A95" s="114"/>
      <c r="B95" s="114"/>
      <c r="C95" s="114"/>
      <c r="D95" s="114"/>
      <c r="E95" s="114"/>
      <c r="F95" s="131"/>
      <c r="G95" s="132"/>
      <c r="H95" s="133"/>
      <c r="I95" s="112"/>
      <c r="J95" s="112"/>
      <c r="K95" s="112"/>
      <c r="L95" s="112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8.0" customHeight="1">
      <c r="A96" s="114"/>
      <c r="B96" s="114"/>
      <c r="C96" s="114"/>
      <c r="D96" s="114"/>
      <c r="E96" s="114"/>
      <c r="F96" s="131"/>
      <c r="G96" s="132"/>
      <c r="H96" s="133"/>
      <c r="I96" s="112"/>
      <c r="J96" s="112"/>
      <c r="K96" s="112"/>
      <c r="L96" s="112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8.0" customHeight="1">
      <c r="A97" s="114"/>
      <c r="B97" s="114"/>
      <c r="C97" s="114"/>
      <c r="D97" s="114"/>
      <c r="E97" s="114"/>
      <c r="F97" s="131"/>
      <c r="G97" s="132"/>
      <c r="H97" s="133"/>
      <c r="I97" s="112"/>
      <c r="J97" s="112"/>
      <c r="K97" s="112"/>
      <c r="L97" s="112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8.0" customHeight="1">
      <c r="A98" s="107"/>
      <c r="B98" s="107"/>
      <c r="C98" s="107"/>
      <c r="D98" s="107"/>
      <c r="E98" s="107"/>
      <c r="F98" s="134"/>
      <c r="G98" s="135"/>
      <c r="H98" s="136"/>
      <c r="I98" s="113"/>
      <c r="J98" s="113"/>
      <c r="K98" s="113"/>
      <c r="L98" s="113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8.0" customHeight="1">
      <c r="A99" s="114"/>
      <c r="B99" s="114"/>
      <c r="C99" s="114"/>
      <c r="D99" s="114"/>
      <c r="E99" s="114"/>
      <c r="F99" s="131"/>
      <c r="G99" s="132"/>
      <c r="H99" s="133"/>
      <c r="I99" s="112"/>
      <c r="J99" s="112"/>
      <c r="K99" s="112"/>
      <c r="L99" s="112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8.0" customHeight="1">
      <c r="A100" s="114"/>
      <c r="B100" s="114"/>
      <c r="C100" s="114"/>
      <c r="D100" s="114"/>
      <c r="E100" s="114"/>
      <c r="F100" s="131"/>
      <c r="G100" s="132"/>
      <c r="H100" s="133"/>
      <c r="I100" s="112"/>
      <c r="J100" s="112"/>
      <c r="K100" s="112"/>
      <c r="L100" s="112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8.0" customHeight="1">
      <c r="A101" s="114"/>
      <c r="B101" s="114"/>
      <c r="C101" s="114"/>
      <c r="D101" s="114"/>
      <c r="E101" s="114"/>
      <c r="F101" s="131"/>
      <c r="G101" s="132"/>
      <c r="H101" s="133"/>
      <c r="I101" s="112"/>
      <c r="J101" s="112"/>
      <c r="K101" s="112"/>
      <c r="L101" s="112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8.0" customHeight="1">
      <c r="A102" s="114"/>
      <c r="B102" s="114"/>
      <c r="C102" s="114"/>
      <c r="D102" s="114"/>
      <c r="E102" s="114"/>
      <c r="F102" s="131"/>
      <c r="G102" s="132"/>
      <c r="H102" s="133"/>
      <c r="I102" s="112"/>
      <c r="J102" s="112"/>
      <c r="K102" s="112"/>
      <c r="L102" s="112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8.0" customHeight="1">
      <c r="A103" s="114"/>
      <c r="B103" s="114"/>
      <c r="C103" s="114"/>
      <c r="D103" s="114"/>
      <c r="E103" s="114"/>
      <c r="F103" s="131"/>
      <c r="G103" s="132"/>
      <c r="H103" s="133"/>
      <c r="I103" s="112"/>
      <c r="J103" s="112"/>
      <c r="K103" s="112"/>
      <c r="L103" s="112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8.0" customHeight="1">
      <c r="A104" s="114"/>
      <c r="B104" s="114"/>
      <c r="C104" s="114"/>
      <c r="D104" s="114"/>
      <c r="E104" s="114"/>
      <c r="F104" s="131"/>
      <c r="G104" s="132"/>
      <c r="H104" s="133"/>
      <c r="I104" s="112"/>
      <c r="J104" s="112"/>
      <c r="K104" s="112"/>
      <c r="L104" s="112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8.0" customHeight="1">
      <c r="A105" s="114"/>
      <c r="B105" s="114"/>
      <c r="C105" s="114"/>
      <c r="D105" s="114"/>
      <c r="E105" s="114"/>
      <c r="F105" s="131"/>
      <c r="G105" s="132"/>
      <c r="H105" s="133"/>
      <c r="I105" s="112"/>
      <c r="J105" s="112"/>
      <c r="K105" s="112"/>
      <c r="L105" s="112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8.0" customHeight="1">
      <c r="A106" s="114"/>
      <c r="B106" s="114"/>
      <c r="C106" s="114"/>
      <c r="D106" s="114"/>
      <c r="E106" s="114"/>
      <c r="F106" s="131"/>
      <c r="G106" s="132"/>
      <c r="H106" s="133"/>
      <c r="I106" s="112"/>
      <c r="J106" s="112"/>
      <c r="K106" s="112"/>
      <c r="L106" s="112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8.0" customHeight="1">
      <c r="A107" s="107"/>
      <c r="B107" s="107"/>
      <c r="C107" s="107"/>
      <c r="D107" s="107"/>
      <c r="E107" s="107"/>
      <c r="F107" s="134"/>
      <c r="G107" s="135"/>
      <c r="H107" s="136"/>
      <c r="I107" s="113"/>
      <c r="J107" s="113"/>
      <c r="K107" s="113"/>
      <c r="L107" s="113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8.0" customHeight="1">
      <c r="A108" s="114"/>
      <c r="B108" s="114"/>
      <c r="C108" s="114"/>
      <c r="D108" s="114"/>
      <c r="E108" s="114"/>
      <c r="F108" s="131"/>
      <c r="G108" s="132"/>
      <c r="H108" s="133"/>
      <c r="I108" s="112"/>
      <c r="J108" s="112"/>
      <c r="K108" s="112"/>
      <c r="L108" s="112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8.0" customHeight="1">
      <c r="A109" s="114"/>
      <c r="B109" s="114"/>
      <c r="C109" s="114"/>
      <c r="D109" s="114"/>
      <c r="E109" s="114"/>
      <c r="F109" s="131"/>
      <c r="G109" s="132"/>
      <c r="H109" s="133"/>
      <c r="I109" s="112"/>
      <c r="J109" s="112"/>
      <c r="K109" s="112"/>
      <c r="L109" s="112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8.0" customHeight="1">
      <c r="A110" s="114"/>
      <c r="B110" s="114"/>
      <c r="C110" s="114"/>
      <c r="D110" s="114"/>
      <c r="E110" s="114"/>
      <c r="F110" s="131"/>
      <c r="G110" s="132"/>
      <c r="H110" s="133"/>
      <c r="I110" s="112"/>
      <c r="J110" s="112"/>
      <c r="K110" s="112"/>
      <c r="L110" s="112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8.0" customHeight="1">
      <c r="A111" s="114"/>
      <c r="B111" s="114"/>
      <c r="C111" s="114"/>
      <c r="D111" s="114"/>
      <c r="E111" s="114"/>
      <c r="F111" s="131"/>
      <c r="G111" s="132"/>
      <c r="H111" s="133"/>
      <c r="I111" s="112"/>
      <c r="J111" s="112"/>
      <c r="K111" s="112"/>
      <c r="L111" s="112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8.0" customHeight="1">
      <c r="A112" s="114"/>
      <c r="B112" s="114"/>
      <c r="C112" s="114"/>
      <c r="D112" s="114"/>
      <c r="E112" s="114"/>
      <c r="F112" s="131"/>
      <c r="G112" s="132"/>
      <c r="H112" s="133"/>
      <c r="I112" s="112"/>
      <c r="J112" s="112"/>
      <c r="K112" s="112"/>
      <c r="L112" s="112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8.0" customHeight="1">
      <c r="A113" s="114"/>
      <c r="B113" s="114"/>
      <c r="C113" s="114"/>
      <c r="D113" s="114"/>
      <c r="E113" s="114"/>
      <c r="F113" s="131"/>
      <c r="G113" s="132"/>
      <c r="H113" s="133"/>
      <c r="I113" s="112"/>
      <c r="J113" s="112"/>
      <c r="K113" s="112"/>
      <c r="L113" s="112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8.0" customHeight="1">
      <c r="A114" s="107"/>
      <c r="B114" s="107"/>
      <c r="C114" s="107"/>
      <c r="D114" s="107"/>
      <c r="E114" s="107"/>
      <c r="F114" s="134"/>
      <c r="G114" s="135"/>
      <c r="H114" s="136"/>
      <c r="I114" s="113"/>
      <c r="J114" s="113"/>
      <c r="K114" s="113"/>
      <c r="L114" s="113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8.0" customHeight="1">
      <c r="A115" s="114"/>
      <c r="B115" s="114"/>
      <c r="C115" s="114"/>
      <c r="D115" s="114"/>
      <c r="E115" s="114"/>
      <c r="F115" s="131"/>
      <c r="G115" s="132"/>
      <c r="H115" s="133"/>
      <c r="I115" s="112"/>
      <c r="J115" s="112"/>
      <c r="K115" s="112"/>
      <c r="L115" s="112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8.0" customHeight="1">
      <c r="A116" s="114"/>
      <c r="B116" s="114"/>
      <c r="C116" s="114"/>
      <c r="D116" s="114"/>
      <c r="E116" s="114"/>
      <c r="F116" s="131"/>
      <c r="G116" s="132"/>
      <c r="H116" s="133"/>
      <c r="I116" s="112"/>
      <c r="J116" s="112"/>
      <c r="K116" s="112"/>
      <c r="L116" s="112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8.0" customHeight="1">
      <c r="A117" s="114"/>
      <c r="B117" s="114"/>
      <c r="C117" s="114"/>
      <c r="D117" s="114"/>
      <c r="E117" s="114"/>
      <c r="F117" s="131"/>
      <c r="G117" s="132"/>
      <c r="H117" s="133"/>
      <c r="I117" s="112"/>
      <c r="J117" s="112"/>
      <c r="K117" s="112"/>
      <c r="L117" s="112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8.0" customHeight="1">
      <c r="A118" s="114"/>
      <c r="B118" s="114"/>
      <c r="C118" s="114"/>
      <c r="D118" s="114"/>
      <c r="E118" s="114"/>
      <c r="F118" s="131"/>
      <c r="G118" s="132"/>
      <c r="H118" s="133"/>
      <c r="I118" s="112"/>
      <c r="J118" s="112"/>
      <c r="K118" s="112"/>
      <c r="L118" s="112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8.0" customHeight="1">
      <c r="A119" s="114"/>
      <c r="B119" s="114"/>
      <c r="C119" s="114"/>
      <c r="D119" s="114"/>
      <c r="E119" s="114"/>
      <c r="F119" s="131"/>
      <c r="G119" s="132"/>
      <c r="H119" s="133"/>
      <c r="I119" s="112"/>
      <c r="J119" s="112"/>
      <c r="K119" s="112"/>
      <c r="L119" s="112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8.0" customHeight="1">
      <c r="A120" s="114"/>
      <c r="B120" s="114"/>
      <c r="C120" s="114"/>
      <c r="D120" s="114"/>
      <c r="E120" s="114"/>
      <c r="F120" s="131"/>
      <c r="G120" s="132"/>
      <c r="H120" s="133"/>
      <c r="I120" s="112"/>
      <c r="J120" s="112"/>
      <c r="K120" s="112"/>
      <c r="L120" s="112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8.0" customHeight="1">
      <c r="A121" s="114"/>
      <c r="B121" s="114"/>
      <c r="C121" s="114"/>
      <c r="D121" s="114"/>
      <c r="E121" s="114"/>
      <c r="F121" s="131"/>
      <c r="G121" s="132"/>
      <c r="H121" s="133"/>
      <c r="I121" s="112"/>
      <c r="J121" s="112"/>
      <c r="K121" s="112"/>
      <c r="L121" s="112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8.0" customHeight="1">
      <c r="A122" s="114"/>
      <c r="B122" s="114"/>
      <c r="C122" s="114"/>
      <c r="D122" s="114"/>
      <c r="E122" s="114"/>
      <c r="F122" s="131"/>
      <c r="G122" s="132"/>
      <c r="H122" s="133"/>
      <c r="I122" s="112"/>
      <c r="J122" s="112"/>
      <c r="K122" s="112"/>
      <c r="L122" s="112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8.0" customHeight="1">
      <c r="A123" s="107"/>
      <c r="B123" s="107"/>
      <c r="C123" s="107"/>
      <c r="D123" s="107"/>
      <c r="E123" s="107"/>
      <c r="F123" s="134"/>
      <c r="G123" s="135"/>
      <c r="H123" s="136"/>
      <c r="I123" s="113"/>
      <c r="J123" s="113"/>
      <c r="K123" s="113"/>
      <c r="L123" s="113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8.0" customHeight="1">
      <c r="A124" s="107"/>
      <c r="B124" s="107"/>
      <c r="C124" s="107"/>
      <c r="D124" s="107"/>
      <c r="E124" s="107"/>
      <c r="F124" s="134"/>
      <c r="G124" s="135"/>
      <c r="H124" s="136"/>
      <c r="I124" s="113"/>
      <c r="J124" s="113"/>
      <c r="K124" s="113"/>
      <c r="L124" s="113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8.0" customHeight="1">
      <c r="A125" s="114"/>
      <c r="B125" s="114"/>
      <c r="C125" s="114"/>
      <c r="D125" s="114"/>
      <c r="E125" s="114"/>
      <c r="F125" s="131"/>
      <c r="G125" s="132"/>
      <c r="H125" s="133"/>
      <c r="I125" s="112"/>
      <c r="J125" s="112"/>
      <c r="K125" s="112"/>
      <c r="L125" s="112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8.0" customHeight="1">
      <c r="A126" s="114"/>
      <c r="B126" s="114"/>
      <c r="C126" s="114"/>
      <c r="D126" s="114"/>
      <c r="E126" s="114"/>
      <c r="F126" s="131"/>
      <c r="G126" s="132"/>
      <c r="H126" s="133"/>
      <c r="I126" s="112"/>
      <c r="J126" s="112"/>
      <c r="K126" s="112"/>
      <c r="L126" s="112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8.0" customHeight="1">
      <c r="A127" s="114"/>
      <c r="B127" s="114"/>
      <c r="C127" s="114"/>
      <c r="D127" s="114"/>
      <c r="E127" s="114"/>
      <c r="F127" s="131"/>
      <c r="G127" s="132"/>
      <c r="H127" s="133"/>
      <c r="I127" s="112"/>
      <c r="J127" s="112"/>
      <c r="K127" s="112"/>
      <c r="L127" s="112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8.0" customHeight="1">
      <c r="A128" s="114"/>
      <c r="B128" s="114"/>
      <c r="C128" s="114"/>
      <c r="D128" s="114"/>
      <c r="E128" s="114"/>
      <c r="F128" s="131"/>
      <c r="G128" s="132"/>
      <c r="H128" s="133"/>
      <c r="I128" s="112"/>
      <c r="J128" s="112"/>
      <c r="K128" s="112"/>
      <c r="L128" s="112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8.0" customHeight="1">
      <c r="A129" s="114"/>
      <c r="B129" s="114"/>
      <c r="C129" s="114"/>
      <c r="D129" s="114"/>
      <c r="E129" s="114"/>
      <c r="F129" s="131"/>
      <c r="G129" s="132"/>
      <c r="H129" s="133"/>
      <c r="I129" s="112"/>
      <c r="J129" s="112"/>
      <c r="K129" s="112"/>
      <c r="L129" s="112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8.0" customHeight="1">
      <c r="A130" s="114"/>
      <c r="B130" s="114"/>
      <c r="C130" s="114"/>
      <c r="D130" s="114"/>
      <c r="E130" s="114"/>
      <c r="F130" s="131"/>
      <c r="G130" s="132"/>
      <c r="H130" s="133"/>
      <c r="I130" s="112"/>
      <c r="J130" s="112"/>
      <c r="K130" s="112"/>
      <c r="L130" s="112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8.0" customHeight="1">
      <c r="A131" s="114"/>
      <c r="B131" s="114"/>
      <c r="C131" s="114"/>
      <c r="D131" s="114"/>
      <c r="E131" s="114"/>
      <c r="F131" s="131"/>
      <c r="G131" s="132"/>
      <c r="H131" s="133"/>
      <c r="I131" s="112"/>
      <c r="J131" s="112"/>
      <c r="K131" s="112"/>
      <c r="L131" s="112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8.0" customHeight="1">
      <c r="A132" s="114"/>
      <c r="B132" s="114"/>
      <c r="C132" s="114"/>
      <c r="D132" s="114"/>
      <c r="E132" s="114"/>
      <c r="F132" s="131"/>
      <c r="G132" s="132"/>
      <c r="H132" s="133"/>
      <c r="I132" s="112"/>
      <c r="J132" s="112"/>
      <c r="K132" s="112"/>
      <c r="L132" s="112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8.0" customHeight="1">
      <c r="A133" s="114"/>
      <c r="B133" s="114"/>
      <c r="C133" s="114"/>
      <c r="D133" s="114"/>
      <c r="E133" s="114"/>
      <c r="F133" s="131"/>
      <c r="G133" s="132"/>
      <c r="H133" s="133"/>
      <c r="I133" s="112"/>
      <c r="J133" s="112"/>
      <c r="K133" s="112"/>
      <c r="L133" s="112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8.0" customHeight="1">
      <c r="A134" s="114"/>
      <c r="B134" s="114"/>
      <c r="C134" s="114"/>
      <c r="D134" s="114"/>
      <c r="E134" s="114"/>
      <c r="F134" s="131"/>
      <c r="G134" s="132"/>
      <c r="H134" s="133"/>
      <c r="I134" s="112"/>
      <c r="J134" s="112"/>
      <c r="K134" s="112"/>
      <c r="L134" s="112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8.0" customHeight="1">
      <c r="A135" s="107"/>
      <c r="B135" s="107"/>
      <c r="C135" s="107"/>
      <c r="D135" s="107"/>
      <c r="E135" s="107"/>
      <c r="F135" s="134"/>
      <c r="G135" s="135"/>
      <c r="H135" s="136"/>
      <c r="I135" s="113"/>
      <c r="J135" s="113"/>
      <c r="K135" s="113"/>
      <c r="L135" s="113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8.0" customHeight="1">
      <c r="A136" s="114"/>
      <c r="B136" s="114"/>
      <c r="C136" s="114"/>
      <c r="D136" s="114"/>
      <c r="E136" s="114"/>
      <c r="F136" s="131"/>
      <c r="G136" s="132"/>
      <c r="H136" s="133"/>
      <c r="I136" s="112"/>
      <c r="J136" s="112"/>
      <c r="K136" s="112"/>
      <c r="L136" s="112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8.0" customHeight="1">
      <c r="A137" s="114"/>
      <c r="B137" s="114"/>
      <c r="C137" s="114"/>
      <c r="D137" s="114"/>
      <c r="E137" s="114"/>
      <c r="F137" s="131"/>
      <c r="G137" s="132"/>
      <c r="H137" s="133"/>
      <c r="I137" s="112"/>
      <c r="J137" s="112"/>
      <c r="K137" s="112"/>
      <c r="L137" s="112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8.0" customHeight="1">
      <c r="A138" s="114"/>
      <c r="B138" s="114"/>
      <c r="C138" s="114"/>
      <c r="D138" s="114"/>
      <c r="E138" s="114"/>
      <c r="F138" s="131"/>
      <c r="G138" s="132"/>
      <c r="H138" s="133"/>
      <c r="I138" s="112"/>
      <c r="J138" s="112"/>
      <c r="K138" s="112"/>
      <c r="L138" s="112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8.0" customHeight="1">
      <c r="A139" s="114"/>
      <c r="B139" s="114"/>
      <c r="C139" s="114"/>
      <c r="D139" s="114"/>
      <c r="E139" s="114"/>
      <c r="F139" s="131"/>
      <c r="G139" s="132"/>
      <c r="H139" s="133"/>
      <c r="I139" s="112"/>
      <c r="J139" s="112"/>
      <c r="K139" s="112"/>
      <c r="L139" s="112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8.0" customHeight="1">
      <c r="A140" s="114"/>
      <c r="B140" s="114"/>
      <c r="C140" s="114"/>
      <c r="D140" s="114"/>
      <c r="E140" s="114"/>
      <c r="F140" s="131"/>
      <c r="G140" s="132"/>
      <c r="H140" s="133"/>
      <c r="I140" s="112"/>
      <c r="J140" s="112"/>
      <c r="K140" s="112"/>
      <c r="L140" s="112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8.0" customHeight="1">
      <c r="A141" s="114"/>
      <c r="B141" s="114"/>
      <c r="C141" s="114"/>
      <c r="D141" s="114"/>
      <c r="E141" s="114"/>
      <c r="F141" s="131"/>
      <c r="G141" s="132"/>
      <c r="H141" s="133"/>
      <c r="I141" s="112"/>
      <c r="J141" s="112"/>
      <c r="K141" s="112"/>
      <c r="L141" s="112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8.0" customHeight="1">
      <c r="A142" s="114"/>
      <c r="B142" s="114"/>
      <c r="C142" s="114"/>
      <c r="D142" s="114"/>
      <c r="E142" s="114"/>
      <c r="F142" s="131"/>
      <c r="G142" s="132"/>
      <c r="H142" s="133"/>
      <c r="I142" s="112"/>
      <c r="J142" s="112"/>
      <c r="K142" s="112"/>
      <c r="L142" s="112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8.0" customHeight="1">
      <c r="A143" s="114"/>
      <c r="B143" s="114"/>
      <c r="C143" s="114"/>
      <c r="D143" s="114"/>
      <c r="E143" s="114"/>
      <c r="F143" s="131"/>
      <c r="G143" s="132"/>
      <c r="H143" s="133"/>
      <c r="I143" s="112"/>
      <c r="J143" s="112"/>
      <c r="K143" s="112"/>
      <c r="L143" s="112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8.0" customHeight="1">
      <c r="A144" s="107"/>
      <c r="B144" s="107"/>
      <c r="C144" s="107"/>
      <c r="D144" s="107"/>
      <c r="E144" s="107"/>
      <c r="F144" s="134"/>
      <c r="G144" s="135"/>
      <c r="H144" s="136"/>
      <c r="I144" s="113"/>
      <c r="J144" s="113"/>
      <c r="K144" s="113"/>
      <c r="L144" s="113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8.0" customHeight="1">
      <c r="A145" s="114"/>
      <c r="B145" s="114"/>
      <c r="C145" s="114"/>
      <c r="D145" s="114"/>
      <c r="E145" s="114"/>
      <c r="F145" s="131"/>
      <c r="G145" s="132"/>
      <c r="H145" s="133"/>
      <c r="I145" s="112"/>
      <c r="J145" s="112"/>
      <c r="K145" s="112"/>
      <c r="L145" s="112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8.0" customHeight="1">
      <c r="A146" s="114"/>
      <c r="B146" s="114"/>
      <c r="C146" s="114"/>
      <c r="D146" s="114"/>
      <c r="E146" s="114"/>
      <c r="F146" s="131"/>
      <c r="G146" s="132"/>
      <c r="H146" s="133"/>
      <c r="I146" s="112"/>
      <c r="J146" s="112"/>
      <c r="K146" s="112"/>
      <c r="L146" s="112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8.0" customHeight="1">
      <c r="A147" s="114"/>
      <c r="B147" s="114"/>
      <c r="C147" s="114"/>
      <c r="D147" s="114"/>
      <c r="E147" s="114"/>
      <c r="F147" s="131"/>
      <c r="G147" s="132"/>
      <c r="H147" s="133"/>
      <c r="I147" s="112"/>
      <c r="J147" s="112"/>
      <c r="K147" s="112"/>
      <c r="L147" s="112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8.0" customHeight="1">
      <c r="A148" s="114"/>
      <c r="B148" s="114"/>
      <c r="C148" s="114"/>
      <c r="D148" s="114"/>
      <c r="E148" s="114"/>
      <c r="F148" s="131"/>
      <c r="G148" s="132"/>
      <c r="H148" s="133"/>
      <c r="I148" s="112"/>
      <c r="J148" s="112"/>
      <c r="K148" s="112"/>
      <c r="L148" s="112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8.0" customHeight="1">
      <c r="A149" s="114"/>
      <c r="B149" s="114"/>
      <c r="C149" s="114"/>
      <c r="D149" s="114"/>
      <c r="E149" s="114"/>
      <c r="F149" s="131"/>
      <c r="G149" s="132"/>
      <c r="H149" s="133"/>
      <c r="I149" s="112"/>
      <c r="J149" s="112"/>
      <c r="K149" s="112"/>
      <c r="L149" s="112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8.0" customHeight="1">
      <c r="A150" s="114"/>
      <c r="B150" s="114"/>
      <c r="C150" s="114"/>
      <c r="D150" s="114"/>
      <c r="E150" s="114"/>
      <c r="F150" s="131"/>
      <c r="G150" s="132"/>
      <c r="H150" s="133"/>
      <c r="I150" s="112"/>
      <c r="J150" s="112"/>
      <c r="K150" s="112"/>
      <c r="L150" s="112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8.0" customHeight="1">
      <c r="A151" s="107"/>
      <c r="B151" s="107"/>
      <c r="C151" s="107"/>
      <c r="D151" s="107"/>
      <c r="E151" s="107"/>
      <c r="F151" s="134"/>
      <c r="G151" s="135"/>
      <c r="H151" s="136"/>
      <c r="I151" s="113"/>
      <c r="J151" s="113"/>
      <c r="K151" s="113"/>
      <c r="L151" s="113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8.0" customHeight="1">
      <c r="A152" s="114"/>
      <c r="B152" s="114"/>
      <c r="C152" s="114"/>
      <c r="D152" s="114"/>
      <c r="E152" s="114"/>
      <c r="F152" s="131"/>
      <c r="G152" s="132"/>
      <c r="H152" s="133"/>
      <c r="I152" s="112"/>
      <c r="J152" s="112"/>
      <c r="K152" s="112"/>
      <c r="L152" s="112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8.0" customHeight="1">
      <c r="A153" s="114"/>
      <c r="B153" s="114"/>
      <c r="C153" s="114"/>
      <c r="D153" s="114"/>
      <c r="E153" s="114"/>
      <c r="F153" s="131"/>
      <c r="G153" s="132"/>
      <c r="H153" s="133"/>
      <c r="I153" s="112"/>
      <c r="J153" s="112"/>
      <c r="K153" s="112"/>
      <c r="L153" s="112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8.0" customHeight="1">
      <c r="A154" s="114"/>
      <c r="B154" s="114"/>
      <c r="C154" s="114"/>
      <c r="D154" s="114"/>
      <c r="E154" s="114"/>
      <c r="F154" s="131"/>
      <c r="G154" s="132"/>
      <c r="H154" s="133"/>
      <c r="I154" s="112"/>
      <c r="J154" s="112"/>
      <c r="K154" s="112"/>
      <c r="L154" s="112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8.0" customHeight="1">
      <c r="A155" s="114"/>
      <c r="B155" s="114"/>
      <c r="C155" s="114"/>
      <c r="D155" s="114"/>
      <c r="E155" s="114"/>
      <c r="F155" s="131"/>
      <c r="G155" s="132"/>
      <c r="H155" s="133"/>
      <c r="I155" s="112"/>
      <c r="J155" s="112"/>
      <c r="K155" s="112"/>
      <c r="L155" s="112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8.0" customHeight="1">
      <c r="A156" s="114"/>
      <c r="B156" s="114"/>
      <c r="C156" s="114"/>
      <c r="D156" s="114"/>
      <c r="E156" s="114"/>
      <c r="F156" s="131"/>
      <c r="G156" s="132"/>
      <c r="H156" s="133"/>
      <c r="I156" s="112"/>
      <c r="J156" s="112"/>
      <c r="K156" s="112"/>
      <c r="L156" s="112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8.0" customHeight="1">
      <c r="A157" s="114"/>
      <c r="B157" s="114"/>
      <c r="C157" s="114"/>
      <c r="D157" s="114"/>
      <c r="E157" s="114"/>
      <c r="F157" s="131"/>
      <c r="G157" s="132"/>
      <c r="H157" s="133"/>
      <c r="I157" s="112"/>
      <c r="J157" s="112"/>
      <c r="K157" s="112"/>
      <c r="L157" s="112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8.0" customHeight="1">
      <c r="A158" s="114"/>
      <c r="B158" s="114"/>
      <c r="C158" s="114"/>
      <c r="D158" s="114"/>
      <c r="E158" s="114"/>
      <c r="F158" s="131"/>
      <c r="G158" s="132"/>
      <c r="H158" s="133"/>
      <c r="I158" s="112"/>
      <c r="J158" s="112"/>
      <c r="K158" s="112"/>
      <c r="L158" s="112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8.0" customHeight="1">
      <c r="A159" s="114"/>
      <c r="B159" s="114"/>
      <c r="C159" s="114"/>
      <c r="D159" s="114"/>
      <c r="E159" s="114"/>
      <c r="F159" s="131"/>
      <c r="G159" s="132"/>
      <c r="H159" s="133"/>
      <c r="I159" s="112"/>
      <c r="J159" s="112"/>
      <c r="K159" s="112"/>
      <c r="L159" s="112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8.0" customHeight="1">
      <c r="A160" s="107"/>
      <c r="B160" s="107"/>
      <c r="C160" s="107"/>
      <c r="D160" s="107"/>
      <c r="E160" s="107"/>
      <c r="F160" s="134"/>
      <c r="G160" s="135"/>
      <c r="H160" s="136"/>
      <c r="I160" s="113"/>
      <c r="J160" s="113"/>
      <c r="K160" s="113"/>
      <c r="L160" s="113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8.0" customHeight="1">
      <c r="A161" s="107"/>
      <c r="B161" s="107"/>
      <c r="C161" s="107"/>
      <c r="D161" s="107"/>
      <c r="E161" s="107"/>
      <c r="F161" s="134"/>
      <c r="G161" s="135"/>
      <c r="H161" s="136"/>
      <c r="I161" s="113"/>
      <c r="J161" s="113"/>
      <c r="K161" s="113"/>
      <c r="L161" s="113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8.0" customHeight="1">
      <c r="A162" s="107"/>
      <c r="B162" s="107"/>
      <c r="C162" s="107"/>
      <c r="D162" s="107"/>
      <c r="E162" s="107"/>
      <c r="F162" s="134"/>
      <c r="G162" s="135"/>
      <c r="H162" s="136"/>
      <c r="I162" s="113"/>
      <c r="J162" s="113"/>
      <c r="K162" s="113"/>
      <c r="L162" s="113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8.0" customHeight="1">
      <c r="A163" s="137"/>
      <c r="B163" s="114"/>
      <c r="C163" s="114"/>
      <c r="D163" s="114"/>
      <c r="E163" s="138"/>
      <c r="F163" s="131"/>
      <c r="G163" s="132"/>
      <c r="H163" s="133"/>
      <c r="I163" s="112"/>
      <c r="J163" s="112"/>
      <c r="K163" s="112"/>
      <c r="L163" s="112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8.0" customHeight="1">
      <c r="A164" s="137"/>
      <c r="B164" s="114"/>
      <c r="C164" s="114"/>
      <c r="D164" s="114"/>
      <c r="E164" s="138"/>
      <c r="F164" s="131"/>
      <c r="G164" s="132"/>
      <c r="H164" s="133"/>
      <c r="I164" s="112"/>
      <c r="J164" s="112"/>
      <c r="K164" s="112"/>
      <c r="L164" s="112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8.0" customHeight="1">
      <c r="A165" s="137"/>
      <c r="B165" s="114"/>
      <c r="C165" s="114"/>
      <c r="D165" s="114"/>
      <c r="E165" s="138"/>
      <c r="F165" s="131"/>
      <c r="G165" s="132"/>
      <c r="H165" s="133"/>
      <c r="I165" s="112"/>
      <c r="J165" s="112"/>
      <c r="K165" s="112"/>
      <c r="L165" s="112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8.0" customHeight="1">
      <c r="A166" s="137"/>
      <c r="B166" s="114"/>
      <c r="C166" s="114"/>
      <c r="D166" s="114"/>
      <c r="E166" s="138"/>
      <c r="F166" s="131"/>
      <c r="G166" s="132"/>
      <c r="H166" s="133"/>
      <c r="I166" s="112"/>
      <c r="J166" s="112"/>
      <c r="K166" s="112"/>
      <c r="L166" s="112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8.0" customHeight="1">
      <c r="A167" s="137"/>
      <c r="B167" s="114"/>
      <c r="C167" s="114"/>
      <c r="D167" s="114"/>
      <c r="E167" s="138"/>
      <c r="F167" s="131"/>
      <c r="G167" s="132"/>
      <c r="H167" s="133"/>
      <c r="I167" s="112"/>
      <c r="J167" s="112"/>
      <c r="K167" s="112"/>
      <c r="L167" s="112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8.0" customHeight="1">
      <c r="A168" s="137"/>
      <c r="B168" s="114"/>
      <c r="C168" s="114"/>
      <c r="D168" s="114"/>
      <c r="E168" s="138"/>
      <c r="F168" s="131"/>
      <c r="G168" s="132"/>
      <c r="H168" s="133"/>
      <c r="I168" s="112"/>
      <c r="J168" s="112"/>
      <c r="K168" s="112"/>
      <c r="L168" s="112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8.0" customHeight="1">
      <c r="A169" s="137"/>
      <c r="B169" s="114"/>
      <c r="C169" s="114"/>
      <c r="D169" s="114"/>
      <c r="E169" s="138"/>
      <c r="F169" s="131"/>
      <c r="G169" s="132"/>
      <c r="H169" s="133"/>
      <c r="I169" s="112"/>
      <c r="J169" s="112"/>
      <c r="K169" s="112"/>
      <c r="L169" s="112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8.0" customHeight="1">
      <c r="A170" s="137"/>
      <c r="B170" s="114"/>
      <c r="C170" s="114"/>
      <c r="D170" s="114"/>
      <c r="E170" s="138"/>
      <c r="F170" s="131"/>
      <c r="G170" s="132"/>
      <c r="H170" s="133"/>
      <c r="I170" s="112"/>
      <c r="J170" s="112"/>
      <c r="K170" s="112"/>
      <c r="L170" s="112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8.0" customHeight="1">
      <c r="A171" s="137"/>
      <c r="B171" s="114"/>
      <c r="C171" s="114"/>
      <c r="D171" s="114"/>
      <c r="E171" s="138"/>
      <c r="F171" s="131"/>
      <c r="G171" s="132"/>
      <c r="H171" s="133"/>
      <c r="I171" s="112"/>
      <c r="J171" s="112"/>
      <c r="K171" s="112"/>
      <c r="L171" s="112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8.0" customHeight="1">
      <c r="A172" s="137"/>
      <c r="B172" s="114"/>
      <c r="C172" s="114"/>
      <c r="D172" s="114"/>
      <c r="E172" s="138"/>
      <c r="F172" s="131"/>
      <c r="G172" s="132"/>
      <c r="H172" s="133"/>
      <c r="I172" s="112"/>
      <c r="J172" s="112"/>
      <c r="K172" s="112"/>
      <c r="L172" s="112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8.0" customHeight="1">
      <c r="A173" s="137"/>
      <c r="B173" s="114"/>
      <c r="C173" s="114"/>
      <c r="D173" s="114"/>
      <c r="E173" s="138"/>
      <c r="F173" s="131"/>
      <c r="G173" s="132"/>
      <c r="H173" s="133"/>
      <c r="I173" s="112"/>
      <c r="J173" s="112"/>
      <c r="K173" s="112"/>
      <c r="L173" s="112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8.0" customHeight="1">
      <c r="A174" s="137"/>
      <c r="B174" s="114"/>
      <c r="C174" s="114"/>
      <c r="D174" s="114"/>
      <c r="E174" s="138"/>
      <c r="F174" s="131"/>
      <c r="G174" s="132"/>
      <c r="H174" s="133"/>
      <c r="I174" s="112"/>
      <c r="J174" s="112"/>
      <c r="K174" s="112"/>
      <c r="L174" s="112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8.0" customHeight="1">
      <c r="A175" s="137"/>
      <c r="B175" s="114"/>
      <c r="C175" s="114"/>
      <c r="D175" s="114"/>
      <c r="E175" s="138"/>
      <c r="F175" s="131"/>
      <c r="G175" s="132"/>
      <c r="H175" s="133"/>
      <c r="I175" s="112"/>
      <c r="J175" s="112"/>
      <c r="K175" s="112"/>
      <c r="L175" s="112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8.0" customHeight="1">
      <c r="A176" s="137"/>
      <c r="B176" s="114"/>
      <c r="C176" s="114"/>
      <c r="D176" s="114"/>
      <c r="E176" s="138"/>
      <c r="F176" s="131"/>
      <c r="G176" s="132"/>
      <c r="H176" s="133"/>
      <c r="I176" s="112"/>
      <c r="J176" s="112"/>
      <c r="K176" s="112"/>
      <c r="L176" s="112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8.0" customHeight="1">
      <c r="A177" s="137"/>
      <c r="B177" s="114"/>
      <c r="C177" s="114"/>
      <c r="D177" s="114"/>
      <c r="E177" s="138"/>
      <c r="F177" s="131"/>
      <c r="G177" s="132"/>
      <c r="H177" s="133"/>
      <c r="I177" s="112"/>
      <c r="J177" s="112"/>
      <c r="K177" s="112"/>
      <c r="L177" s="112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8.0" customHeight="1">
      <c r="A178" s="137"/>
      <c r="B178" s="114"/>
      <c r="C178" s="114"/>
      <c r="D178" s="114"/>
      <c r="E178" s="138"/>
      <c r="F178" s="131"/>
      <c r="G178" s="132"/>
      <c r="H178" s="133"/>
      <c r="I178" s="112"/>
      <c r="J178" s="112"/>
      <c r="K178" s="112"/>
      <c r="L178" s="112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8.0" customHeight="1">
      <c r="A179" s="137"/>
      <c r="B179" s="114"/>
      <c r="C179" s="114"/>
      <c r="D179" s="114"/>
      <c r="E179" s="138"/>
      <c r="F179" s="131"/>
      <c r="G179" s="132"/>
      <c r="H179" s="133"/>
      <c r="I179" s="112"/>
      <c r="J179" s="112"/>
      <c r="K179" s="112"/>
      <c r="L179" s="112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8.0" customHeight="1">
      <c r="A180" s="137"/>
      <c r="B180" s="114"/>
      <c r="C180" s="114"/>
      <c r="D180" s="114"/>
      <c r="E180" s="138"/>
      <c r="F180" s="131"/>
      <c r="G180" s="132"/>
      <c r="H180" s="133"/>
      <c r="I180" s="112"/>
      <c r="J180" s="112"/>
      <c r="K180" s="112"/>
      <c r="L180" s="112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8.0" customHeight="1">
      <c r="A181" s="137"/>
      <c r="B181" s="114"/>
      <c r="C181" s="114"/>
      <c r="D181" s="114"/>
      <c r="E181" s="138"/>
      <c r="F181" s="131"/>
      <c r="G181" s="132"/>
      <c r="H181" s="133"/>
      <c r="I181" s="112"/>
      <c r="J181" s="112"/>
      <c r="K181" s="112"/>
      <c r="L181" s="112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8.0" customHeight="1">
      <c r="A182" s="137"/>
      <c r="B182" s="114"/>
      <c r="C182" s="114"/>
      <c r="D182" s="114"/>
      <c r="E182" s="138"/>
      <c r="F182" s="131"/>
      <c r="G182" s="132"/>
      <c r="H182" s="133"/>
      <c r="I182" s="112"/>
      <c r="J182" s="112"/>
      <c r="K182" s="112"/>
      <c r="L182" s="112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8.0" customHeight="1">
      <c r="A183" s="137"/>
      <c r="B183" s="114"/>
      <c r="C183" s="114"/>
      <c r="D183" s="114"/>
      <c r="E183" s="138"/>
      <c r="F183" s="131"/>
      <c r="G183" s="132"/>
      <c r="H183" s="133"/>
      <c r="I183" s="112"/>
      <c r="J183" s="112"/>
      <c r="K183" s="112"/>
      <c r="L183" s="112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8.0" customHeight="1">
      <c r="A184" s="137"/>
      <c r="B184" s="114"/>
      <c r="C184" s="114"/>
      <c r="D184" s="114"/>
      <c r="E184" s="138"/>
      <c r="F184" s="131"/>
      <c r="G184" s="132"/>
      <c r="H184" s="133"/>
      <c r="I184" s="112"/>
      <c r="J184" s="112"/>
      <c r="K184" s="112"/>
      <c r="L184" s="112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8.0" customHeight="1">
      <c r="A185" s="137"/>
      <c r="B185" s="114"/>
      <c r="C185" s="114"/>
      <c r="D185" s="114"/>
      <c r="E185" s="138"/>
      <c r="F185" s="131"/>
      <c r="G185" s="132"/>
      <c r="H185" s="133"/>
      <c r="I185" s="112"/>
      <c r="J185" s="112"/>
      <c r="K185" s="112"/>
      <c r="L185" s="112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8.0" customHeight="1">
      <c r="A186" s="137"/>
      <c r="B186" s="114"/>
      <c r="C186" s="114"/>
      <c r="D186" s="114"/>
      <c r="E186" s="138"/>
      <c r="F186" s="131"/>
      <c r="G186" s="132"/>
      <c r="H186" s="133"/>
      <c r="I186" s="112"/>
      <c r="J186" s="112"/>
      <c r="K186" s="112"/>
      <c r="L186" s="112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8.0" customHeight="1">
      <c r="A187" s="137"/>
      <c r="B187" s="114"/>
      <c r="C187" s="114"/>
      <c r="D187" s="114"/>
      <c r="E187" s="138"/>
      <c r="F187" s="131"/>
      <c r="G187" s="132"/>
      <c r="H187" s="133"/>
      <c r="I187" s="112"/>
      <c r="J187" s="112"/>
      <c r="K187" s="112"/>
      <c r="L187" s="112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8.0" customHeight="1">
      <c r="A188" s="137"/>
      <c r="B188" s="114"/>
      <c r="C188" s="114"/>
      <c r="D188" s="114"/>
      <c r="E188" s="138"/>
      <c r="F188" s="131"/>
      <c r="G188" s="132"/>
      <c r="H188" s="133"/>
      <c r="I188" s="112"/>
      <c r="J188" s="112"/>
      <c r="K188" s="112"/>
      <c r="L188" s="112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8.0" customHeight="1">
      <c r="A189" s="137"/>
      <c r="B189" s="114"/>
      <c r="C189" s="114"/>
      <c r="D189" s="114"/>
      <c r="E189" s="138"/>
      <c r="F189" s="131"/>
      <c r="G189" s="132"/>
      <c r="H189" s="133"/>
      <c r="I189" s="112"/>
      <c r="J189" s="112"/>
      <c r="K189" s="112"/>
      <c r="L189" s="112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8.0" customHeight="1">
      <c r="A190" s="137"/>
      <c r="B190" s="114"/>
      <c r="C190" s="114"/>
      <c r="D190" s="114"/>
      <c r="E190" s="138"/>
      <c r="F190" s="131"/>
      <c r="G190" s="132"/>
      <c r="H190" s="133"/>
      <c r="I190" s="112"/>
      <c r="J190" s="112"/>
      <c r="K190" s="112"/>
      <c r="L190" s="112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8.0" customHeight="1">
      <c r="A191" s="137"/>
      <c r="B191" s="114"/>
      <c r="C191" s="114"/>
      <c r="D191" s="114"/>
      <c r="E191" s="138"/>
      <c r="F191" s="131"/>
      <c r="G191" s="132"/>
      <c r="H191" s="133"/>
      <c r="I191" s="112"/>
      <c r="J191" s="112"/>
      <c r="K191" s="112"/>
      <c r="L191" s="112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8.0" customHeight="1">
      <c r="A192" s="137"/>
      <c r="B192" s="114"/>
      <c r="C192" s="114"/>
      <c r="D192" s="114"/>
      <c r="E192" s="138"/>
      <c r="F192" s="131"/>
      <c r="G192" s="132"/>
      <c r="H192" s="133"/>
      <c r="I192" s="112"/>
      <c r="J192" s="112"/>
      <c r="K192" s="112"/>
      <c r="L192" s="112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8.0" customHeight="1">
      <c r="A193" s="137"/>
      <c r="B193" s="114"/>
      <c r="C193" s="114"/>
      <c r="D193" s="114"/>
      <c r="E193" s="138"/>
      <c r="F193" s="131"/>
      <c r="G193" s="132"/>
      <c r="H193" s="133"/>
      <c r="I193" s="112"/>
      <c r="J193" s="112"/>
      <c r="K193" s="112"/>
      <c r="L193" s="112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8.0" customHeight="1">
      <c r="A194" s="137"/>
      <c r="B194" s="114"/>
      <c r="C194" s="114"/>
      <c r="D194" s="114"/>
      <c r="E194" s="138"/>
      <c r="F194" s="131"/>
      <c r="G194" s="132"/>
      <c r="H194" s="133"/>
      <c r="I194" s="112"/>
      <c r="J194" s="112"/>
      <c r="K194" s="112"/>
      <c r="L194" s="112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8.0" customHeight="1">
      <c r="A195" s="137"/>
      <c r="B195" s="114"/>
      <c r="C195" s="114"/>
      <c r="D195" s="114"/>
      <c r="E195" s="138"/>
      <c r="F195" s="131"/>
      <c r="G195" s="132"/>
      <c r="H195" s="133"/>
      <c r="I195" s="112"/>
      <c r="J195" s="112"/>
      <c r="K195" s="112"/>
      <c r="L195" s="112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8.0" customHeight="1">
      <c r="A196" s="137"/>
      <c r="B196" s="114"/>
      <c r="C196" s="114"/>
      <c r="D196" s="114"/>
      <c r="E196" s="138"/>
      <c r="F196" s="131"/>
      <c r="G196" s="132"/>
      <c r="H196" s="133"/>
      <c r="I196" s="112"/>
      <c r="J196" s="112"/>
      <c r="K196" s="112"/>
      <c r="L196" s="112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8.0" customHeight="1">
      <c r="A197" s="137"/>
      <c r="B197" s="114"/>
      <c r="C197" s="114"/>
      <c r="D197" s="114"/>
      <c r="E197" s="138"/>
      <c r="F197" s="131"/>
      <c r="G197" s="132"/>
      <c r="H197" s="133"/>
      <c r="I197" s="112"/>
      <c r="J197" s="112"/>
      <c r="K197" s="112"/>
      <c r="L197" s="112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8.0" customHeight="1">
      <c r="A198" s="137"/>
      <c r="B198" s="114"/>
      <c r="C198" s="114"/>
      <c r="D198" s="114"/>
      <c r="E198" s="138"/>
      <c r="F198" s="131"/>
      <c r="G198" s="132"/>
      <c r="H198" s="133"/>
      <c r="I198" s="112"/>
      <c r="J198" s="112"/>
      <c r="K198" s="112"/>
      <c r="L198" s="112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8.0" customHeight="1">
      <c r="A199" s="137"/>
      <c r="B199" s="114"/>
      <c r="C199" s="114"/>
      <c r="D199" s="114"/>
      <c r="E199" s="138"/>
      <c r="F199" s="131"/>
      <c r="G199" s="132"/>
      <c r="H199" s="133"/>
      <c r="I199" s="112"/>
      <c r="J199" s="112"/>
      <c r="K199" s="112"/>
      <c r="L199" s="112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8.0" customHeight="1">
      <c r="A200" s="137"/>
      <c r="B200" s="114"/>
      <c r="C200" s="114"/>
      <c r="D200" s="114"/>
      <c r="E200" s="138"/>
      <c r="F200" s="131"/>
      <c r="G200" s="132"/>
      <c r="H200" s="133"/>
      <c r="I200" s="112"/>
      <c r="J200" s="112"/>
      <c r="K200" s="112"/>
      <c r="L200" s="112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8.0" customHeight="1">
      <c r="A201" s="137"/>
      <c r="B201" s="114"/>
      <c r="C201" s="114"/>
      <c r="D201" s="114"/>
      <c r="E201" s="138"/>
      <c r="F201" s="131"/>
      <c r="G201" s="132"/>
      <c r="H201" s="133"/>
      <c r="I201" s="112"/>
      <c r="J201" s="112"/>
      <c r="K201" s="112"/>
      <c r="L201" s="112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8.0" customHeight="1">
      <c r="A202" s="137"/>
      <c r="B202" s="114"/>
      <c r="C202" s="114"/>
      <c r="D202" s="114"/>
      <c r="E202" s="138"/>
      <c r="F202" s="131"/>
      <c r="G202" s="132"/>
      <c r="H202" s="133"/>
      <c r="I202" s="112"/>
      <c r="J202" s="112"/>
      <c r="K202" s="112"/>
      <c r="L202" s="112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8.0" customHeight="1">
      <c r="A203" s="137"/>
      <c r="B203" s="114"/>
      <c r="C203" s="114"/>
      <c r="D203" s="114"/>
      <c r="E203" s="138"/>
      <c r="F203" s="131"/>
      <c r="G203" s="132"/>
      <c r="H203" s="133"/>
      <c r="I203" s="112"/>
      <c r="J203" s="112"/>
      <c r="K203" s="112"/>
      <c r="L203" s="112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8.0" customHeight="1">
      <c r="A204" s="137"/>
      <c r="B204" s="114"/>
      <c r="C204" s="114"/>
      <c r="D204" s="114"/>
      <c r="E204" s="138"/>
      <c r="F204" s="131"/>
      <c r="G204" s="132"/>
      <c r="H204" s="133"/>
      <c r="I204" s="112"/>
      <c r="J204" s="112"/>
      <c r="K204" s="112"/>
      <c r="L204" s="112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8.0" customHeight="1">
      <c r="A205" s="137"/>
      <c r="B205" s="114"/>
      <c r="C205" s="114"/>
      <c r="D205" s="114"/>
      <c r="E205" s="138"/>
      <c r="F205" s="131"/>
      <c r="G205" s="132"/>
      <c r="H205" s="133"/>
      <c r="I205" s="112"/>
      <c r="J205" s="112"/>
      <c r="K205" s="112"/>
      <c r="L205" s="112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8.0" customHeight="1">
      <c r="A206" s="137"/>
      <c r="B206" s="114"/>
      <c r="C206" s="114"/>
      <c r="D206" s="114"/>
      <c r="E206" s="138"/>
      <c r="F206" s="131"/>
      <c r="G206" s="132"/>
      <c r="H206" s="133"/>
      <c r="I206" s="112"/>
      <c r="J206" s="112"/>
      <c r="K206" s="112"/>
      <c r="L206" s="112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8.0" customHeight="1">
      <c r="A207" s="137"/>
      <c r="B207" s="114"/>
      <c r="C207" s="114"/>
      <c r="D207" s="114"/>
      <c r="E207" s="138"/>
      <c r="F207" s="131"/>
      <c r="G207" s="132"/>
      <c r="H207" s="133"/>
      <c r="I207" s="112"/>
      <c r="J207" s="112"/>
      <c r="K207" s="112"/>
      <c r="L207" s="112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8.0" customHeight="1">
      <c r="A208" s="137"/>
      <c r="B208" s="114"/>
      <c r="C208" s="114"/>
      <c r="D208" s="114"/>
      <c r="E208" s="138"/>
      <c r="F208" s="131"/>
      <c r="G208" s="132"/>
      <c r="H208" s="133"/>
      <c r="I208" s="112"/>
      <c r="J208" s="112"/>
      <c r="K208" s="112"/>
      <c r="L208" s="112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8.0" customHeight="1">
      <c r="A209" s="137"/>
      <c r="B209" s="114"/>
      <c r="C209" s="114"/>
      <c r="D209" s="114"/>
      <c r="E209" s="138"/>
      <c r="F209" s="131"/>
      <c r="G209" s="132"/>
      <c r="H209" s="133"/>
      <c r="I209" s="112"/>
      <c r="J209" s="112"/>
      <c r="K209" s="112"/>
      <c r="L209" s="112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8.0" customHeight="1">
      <c r="A210" s="137"/>
      <c r="B210" s="114"/>
      <c r="C210" s="114"/>
      <c r="D210" s="114"/>
      <c r="E210" s="138"/>
      <c r="F210" s="131"/>
      <c r="G210" s="132"/>
      <c r="H210" s="133"/>
      <c r="I210" s="112"/>
      <c r="J210" s="112"/>
      <c r="K210" s="112"/>
      <c r="L210" s="112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8.0" customHeight="1">
      <c r="A211" s="137"/>
      <c r="B211" s="114"/>
      <c r="C211" s="114"/>
      <c r="D211" s="114"/>
      <c r="E211" s="138"/>
      <c r="F211" s="131"/>
      <c r="G211" s="132"/>
      <c r="H211" s="133"/>
      <c r="I211" s="112"/>
      <c r="J211" s="112"/>
      <c r="K211" s="112"/>
      <c r="L211" s="112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8.0" customHeight="1">
      <c r="A212" s="137"/>
      <c r="B212" s="114"/>
      <c r="C212" s="114"/>
      <c r="D212" s="114"/>
      <c r="E212" s="138"/>
      <c r="F212" s="131"/>
      <c r="G212" s="132"/>
      <c r="H212" s="133"/>
      <c r="I212" s="112"/>
      <c r="J212" s="112"/>
      <c r="K212" s="112"/>
      <c r="L212" s="112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8.0" customHeight="1">
      <c r="A213" s="137"/>
      <c r="B213" s="114"/>
      <c r="C213" s="114"/>
      <c r="D213" s="114"/>
      <c r="E213" s="138"/>
      <c r="F213" s="131"/>
      <c r="G213" s="132"/>
      <c r="H213" s="133"/>
      <c r="I213" s="112"/>
      <c r="J213" s="112"/>
      <c r="K213" s="112"/>
      <c r="L213" s="112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8.0" customHeight="1">
      <c r="A214" s="137"/>
      <c r="B214" s="114"/>
      <c r="C214" s="114"/>
      <c r="D214" s="114"/>
      <c r="E214" s="138"/>
      <c r="F214" s="131"/>
      <c r="G214" s="132"/>
      <c r="H214" s="133"/>
      <c r="I214" s="112"/>
      <c r="J214" s="112"/>
      <c r="K214" s="112"/>
      <c r="L214" s="112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8.0" customHeight="1">
      <c r="A215" s="137"/>
      <c r="B215" s="114"/>
      <c r="C215" s="114"/>
      <c r="D215" s="114"/>
      <c r="E215" s="138"/>
      <c r="F215" s="131"/>
      <c r="G215" s="132"/>
      <c r="H215" s="133"/>
      <c r="I215" s="112"/>
      <c r="J215" s="112"/>
      <c r="K215" s="112"/>
      <c r="L215" s="112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8.0" customHeight="1">
      <c r="A216" s="137"/>
      <c r="B216" s="114"/>
      <c r="C216" s="114"/>
      <c r="D216" s="114"/>
      <c r="E216" s="138"/>
      <c r="F216" s="131"/>
      <c r="G216" s="132"/>
      <c r="H216" s="133"/>
      <c r="I216" s="112"/>
      <c r="J216" s="112"/>
      <c r="K216" s="112"/>
      <c r="L216" s="112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8.0" customHeight="1">
      <c r="A217" s="137"/>
      <c r="B217" s="114"/>
      <c r="C217" s="114"/>
      <c r="D217" s="114"/>
      <c r="E217" s="138"/>
      <c r="F217" s="131"/>
      <c r="G217" s="132"/>
      <c r="H217" s="133"/>
      <c r="I217" s="112"/>
      <c r="J217" s="112"/>
      <c r="K217" s="112"/>
      <c r="L217" s="112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8.0" customHeight="1">
      <c r="A218" s="137"/>
      <c r="B218" s="114"/>
      <c r="C218" s="114"/>
      <c r="D218" s="114"/>
      <c r="E218" s="138"/>
      <c r="F218" s="131"/>
      <c r="G218" s="132"/>
      <c r="H218" s="133"/>
      <c r="I218" s="112"/>
      <c r="J218" s="112"/>
      <c r="K218" s="112"/>
      <c r="L218" s="112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8.0" customHeight="1">
      <c r="A219" s="137"/>
      <c r="B219" s="114"/>
      <c r="C219" s="114"/>
      <c r="D219" s="114"/>
      <c r="E219" s="138"/>
      <c r="F219" s="131"/>
      <c r="G219" s="132"/>
      <c r="H219" s="133"/>
      <c r="I219" s="112"/>
      <c r="J219" s="112"/>
      <c r="K219" s="112"/>
      <c r="L219" s="112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8.0" customHeight="1">
      <c r="A220" s="137"/>
      <c r="B220" s="114"/>
      <c r="C220" s="114"/>
      <c r="D220" s="114"/>
      <c r="E220" s="138"/>
      <c r="F220" s="131"/>
      <c r="G220" s="132"/>
      <c r="H220" s="133"/>
      <c r="I220" s="112"/>
      <c r="J220" s="112"/>
      <c r="K220" s="112"/>
      <c r="L220" s="112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8.0" customHeight="1">
      <c r="A221" s="137"/>
      <c r="B221" s="114"/>
      <c r="C221" s="114"/>
      <c r="D221" s="114"/>
      <c r="E221" s="138"/>
      <c r="F221" s="131"/>
      <c r="G221" s="132"/>
      <c r="H221" s="133"/>
      <c r="I221" s="112"/>
      <c r="J221" s="112"/>
      <c r="K221" s="112"/>
      <c r="L221" s="112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8.0" customHeight="1">
      <c r="A222" s="137"/>
      <c r="B222" s="114"/>
      <c r="C222" s="114"/>
      <c r="D222" s="114"/>
      <c r="E222" s="138"/>
      <c r="F222" s="131"/>
      <c r="G222" s="132"/>
      <c r="H222" s="133"/>
      <c r="I222" s="112"/>
      <c r="J222" s="112"/>
      <c r="K222" s="112"/>
      <c r="L222" s="112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8.0" customHeight="1">
      <c r="A223" s="137"/>
      <c r="B223" s="114"/>
      <c r="C223" s="114"/>
      <c r="D223" s="114"/>
      <c r="E223" s="138"/>
      <c r="F223" s="131"/>
      <c r="G223" s="132"/>
      <c r="H223" s="133"/>
      <c r="I223" s="112"/>
      <c r="J223" s="112"/>
      <c r="K223" s="112"/>
      <c r="L223" s="112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8.0" customHeight="1">
      <c r="A224" s="137"/>
      <c r="B224" s="114"/>
      <c r="C224" s="114"/>
      <c r="D224" s="114"/>
      <c r="E224" s="138"/>
      <c r="F224" s="131"/>
      <c r="G224" s="132"/>
      <c r="H224" s="133"/>
      <c r="I224" s="112"/>
      <c r="J224" s="112"/>
      <c r="K224" s="112"/>
      <c r="L224" s="112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8.0" customHeight="1">
      <c r="A225" s="137"/>
      <c r="B225" s="114"/>
      <c r="C225" s="114"/>
      <c r="D225" s="114"/>
      <c r="E225" s="138"/>
      <c r="F225" s="131"/>
      <c r="G225" s="132"/>
      <c r="H225" s="133"/>
      <c r="I225" s="112"/>
      <c r="J225" s="112"/>
      <c r="K225" s="112"/>
      <c r="L225" s="112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8.0" customHeight="1">
      <c r="A226" s="137"/>
      <c r="B226" s="114"/>
      <c r="C226" s="114"/>
      <c r="D226" s="114"/>
      <c r="E226" s="138"/>
      <c r="F226" s="131"/>
      <c r="G226" s="132"/>
      <c r="H226" s="133"/>
      <c r="I226" s="112"/>
      <c r="J226" s="112"/>
      <c r="K226" s="112"/>
      <c r="L226" s="112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8.0" customHeight="1">
      <c r="A227" s="137"/>
      <c r="B227" s="114"/>
      <c r="C227" s="114"/>
      <c r="D227" s="114"/>
      <c r="E227" s="138"/>
      <c r="F227" s="131"/>
      <c r="G227" s="132"/>
      <c r="H227" s="133"/>
      <c r="I227" s="112"/>
      <c r="J227" s="112"/>
      <c r="K227" s="112"/>
      <c r="L227" s="112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8.0" customHeight="1">
      <c r="A228" s="137"/>
      <c r="B228" s="114"/>
      <c r="C228" s="114"/>
      <c r="D228" s="114"/>
      <c r="E228" s="138"/>
      <c r="F228" s="131"/>
      <c r="G228" s="132"/>
      <c r="H228" s="133"/>
      <c r="I228" s="112"/>
      <c r="J228" s="112"/>
      <c r="K228" s="112"/>
      <c r="L228" s="112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8.0" customHeight="1">
      <c r="A229" s="137"/>
      <c r="B229" s="114"/>
      <c r="C229" s="114"/>
      <c r="D229" s="114"/>
      <c r="E229" s="138"/>
      <c r="F229" s="131"/>
      <c r="G229" s="132"/>
      <c r="H229" s="133"/>
      <c r="I229" s="112"/>
      <c r="J229" s="112"/>
      <c r="K229" s="112"/>
      <c r="L229" s="112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8.0" customHeight="1">
      <c r="A230" s="137"/>
      <c r="B230" s="114"/>
      <c r="C230" s="114"/>
      <c r="D230" s="114"/>
      <c r="E230" s="138"/>
      <c r="F230" s="131"/>
      <c r="G230" s="132"/>
      <c r="H230" s="133"/>
      <c r="I230" s="112"/>
      <c r="J230" s="112"/>
      <c r="K230" s="112"/>
      <c r="L230" s="112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8.0" customHeight="1">
      <c r="A231" s="137"/>
      <c r="B231" s="114"/>
      <c r="C231" s="114"/>
      <c r="D231" s="114"/>
      <c r="E231" s="138"/>
      <c r="F231" s="131"/>
      <c r="G231" s="132"/>
      <c r="H231" s="133"/>
      <c r="I231" s="112"/>
      <c r="J231" s="112"/>
      <c r="K231" s="112"/>
      <c r="L231" s="112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8.0" customHeight="1">
      <c r="A232" s="137"/>
      <c r="B232" s="114"/>
      <c r="C232" s="114"/>
      <c r="D232" s="114"/>
      <c r="E232" s="138"/>
      <c r="F232" s="131"/>
      <c r="G232" s="132"/>
      <c r="H232" s="133"/>
      <c r="I232" s="112"/>
      <c r="J232" s="112"/>
      <c r="K232" s="112"/>
      <c r="L232" s="112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8.0" customHeight="1">
      <c r="A233" s="137"/>
      <c r="B233" s="114"/>
      <c r="C233" s="114"/>
      <c r="D233" s="114"/>
      <c r="E233" s="138"/>
      <c r="F233" s="131"/>
      <c r="G233" s="132"/>
      <c r="H233" s="133"/>
      <c r="I233" s="112"/>
      <c r="J233" s="112"/>
      <c r="K233" s="112"/>
      <c r="L233" s="112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8.0" customHeight="1">
      <c r="A234" s="137"/>
      <c r="B234" s="114"/>
      <c r="C234" s="114"/>
      <c r="D234" s="114"/>
      <c r="E234" s="138"/>
      <c r="F234" s="131"/>
      <c r="G234" s="132"/>
      <c r="H234" s="133"/>
      <c r="I234" s="112"/>
      <c r="J234" s="112"/>
      <c r="K234" s="112"/>
      <c r="L234" s="112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8.0" customHeight="1">
      <c r="A235" s="137"/>
      <c r="B235" s="114"/>
      <c r="C235" s="114"/>
      <c r="D235" s="114"/>
      <c r="E235" s="138"/>
      <c r="F235" s="131"/>
      <c r="G235" s="132"/>
      <c r="H235" s="133"/>
      <c r="I235" s="112"/>
      <c r="J235" s="112"/>
      <c r="K235" s="112"/>
      <c r="L235" s="112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2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2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2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2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2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2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2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2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2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2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2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2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2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2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2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2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2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2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2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2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2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2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2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2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2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2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2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2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2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2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2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2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2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2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2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2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2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2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2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2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2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2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2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2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2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2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2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2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2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2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2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2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2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2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2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2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2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2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2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2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2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2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2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2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2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2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2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2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2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2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2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2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2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2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2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2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2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2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2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2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2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2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2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2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2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2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2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2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2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2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2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2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2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2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2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2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2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2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2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2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2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2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2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2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2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2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2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2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2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2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2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2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2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2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2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2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2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2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2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2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2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2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2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2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2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2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2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2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2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2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2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2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2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2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2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2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2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2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2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2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2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2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2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2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2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2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2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2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2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2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2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2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2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2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2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2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2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2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2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2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2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2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2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2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2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2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2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2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2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2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2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2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2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2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2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2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2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2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2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2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2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2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2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2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2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2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2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2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2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2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2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2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2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2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2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2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2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2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2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2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2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2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2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2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2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2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2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2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2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2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2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2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2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2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2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2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2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2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2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2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2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2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2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2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2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2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2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2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2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2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2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2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2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2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2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2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2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2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2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2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2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2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2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2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2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2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2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2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2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2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2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2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2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2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2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2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2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2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2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2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2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2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2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2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2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2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2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2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2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2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2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2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2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2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2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2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2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2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2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2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2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2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2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2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2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2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2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2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2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2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2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2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2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2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2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2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2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2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2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2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2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2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2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2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2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2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2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2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2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2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2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2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2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2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2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2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2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2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2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2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2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2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2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2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2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2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2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2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2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2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2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2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2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2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2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2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2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2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2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2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2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2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2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2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2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2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2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2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2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2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2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2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2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2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2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2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2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2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2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2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2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2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2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2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2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2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2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2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2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2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2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2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2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2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2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2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2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2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2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2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2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2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2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2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2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2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2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2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2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2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2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2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2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2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2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2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2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2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2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2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2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2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2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2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2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2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2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2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2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2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2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2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2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2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2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2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2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2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2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2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2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2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2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2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2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2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2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2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2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2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2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2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2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2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2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2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2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2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2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2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2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2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2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2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2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2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2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2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2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2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2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2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2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2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2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2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2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2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2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2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2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2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2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2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2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2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2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2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2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2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2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2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2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2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2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2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2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2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2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2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2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2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2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2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2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2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2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2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2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2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2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2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2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2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2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2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2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2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2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2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2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2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2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2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2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2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2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2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2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2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2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2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2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2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2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2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2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2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2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2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2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2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2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2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2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2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2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2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2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2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2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2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2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2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2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2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2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2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2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2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2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2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2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2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2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2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2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2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2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2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2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2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2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2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2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2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2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2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2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2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2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2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2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2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2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2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2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2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2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2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2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2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2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2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2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2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2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2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2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2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2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2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2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2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2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2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2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2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2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2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2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2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2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2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2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2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2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2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2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2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2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2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2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2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2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2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2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2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2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2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2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2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2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2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2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2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2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2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2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2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2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2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2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2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2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2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2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2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2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2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2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2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2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2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2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2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2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2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2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2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2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2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2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2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2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2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2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2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2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2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2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2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2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2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2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2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2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2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2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2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2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2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2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2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2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2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2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2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2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2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2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2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2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2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2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2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2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2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2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2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2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2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2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2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2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2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2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2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2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2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2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2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2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2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2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2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2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2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2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2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2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2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2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2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2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2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2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2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2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2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2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2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2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2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2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2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2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2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2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2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2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2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2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2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2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2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2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2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2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2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2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2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2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2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2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2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2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2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2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2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2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2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2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2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2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2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2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2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2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2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2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2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2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2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2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2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2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2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2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2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2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2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2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2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2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ht="12.75" customHeight="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</sheetData>
  <printOptions/>
  <pageMargins bottom="0.34" footer="0.0" header="0.0" left="0.38" right="0.31" top="0.45"/>
  <pageSetup orientation="portrait"/>
  <headerFooter>
    <oddHeader>&amp;C 23.1 Hydroseeding Large Commercial jobs </oddHeader>
    <oddFooter>&amp;L &amp;F&amp;C&amp;D&amp;T&amp;Rpage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0"/>
    <col customWidth="1" min="2" max="2" width="14.0"/>
    <col customWidth="1" min="3" max="5" width="8.63"/>
    <col customWidth="1" min="6" max="6" width="17.63"/>
    <col customWidth="1" min="7" max="7" width="13.38"/>
    <col customWidth="1" min="8" max="8" width="9.25"/>
    <col customWidth="1" min="9" max="9" width="17.25"/>
    <col customWidth="1" min="10" max="12" width="9.25"/>
    <col customWidth="1" min="13" max="26" width="8.63"/>
  </cols>
  <sheetData>
    <row r="1" ht="12.75" customHeight="1">
      <c r="A1" s="74"/>
      <c r="B1" s="75" t="s">
        <v>20</v>
      </c>
      <c r="C1" s="76" t="str">
        <f>'1. Setup &amp; Recap'!O10</f>
        <v/>
      </c>
      <c r="D1" s="77"/>
      <c r="E1" s="77"/>
      <c r="F1" s="78" t="s">
        <v>18</v>
      </c>
      <c r="G1" s="79" t="str">
        <f>'1. Setup &amp; Recap'!O9</f>
        <v/>
      </c>
      <c r="H1" s="77"/>
      <c r="I1" s="77"/>
      <c r="J1" s="77"/>
      <c r="K1" s="77"/>
      <c r="L1" s="77"/>
      <c r="M1" s="77"/>
      <c r="N1" s="4"/>
      <c r="O1" s="77"/>
      <c r="P1" s="77"/>
      <c r="Q1" s="77"/>
      <c r="R1" s="77"/>
      <c r="S1" s="77"/>
      <c r="T1" s="77"/>
      <c r="U1" s="77"/>
      <c r="V1" s="77"/>
      <c r="W1" s="77"/>
    </row>
    <row r="2" ht="12.75" customHeight="1">
      <c r="A2" s="77"/>
      <c r="B2" s="75" t="s">
        <v>22</v>
      </c>
      <c r="C2" s="76" t="str">
        <f>'1. Setup &amp; Recap'!O11</f>
        <v/>
      </c>
      <c r="D2" s="77"/>
      <c r="E2" s="77"/>
      <c r="F2" s="78" t="s">
        <v>32</v>
      </c>
      <c r="G2" s="80" t="str">
        <f>'1. Setup &amp; Recap'!O16</f>
        <v>Hayden Lutz, Rob McKenna, John Dickinson</v>
      </c>
      <c r="H2" s="77"/>
      <c r="I2" s="81" t="s">
        <v>89</v>
      </c>
      <c r="J2" s="82">
        <f>$G$5*(1+$G$6+$G$7)</f>
        <v>28.06</v>
      </c>
      <c r="K2" s="77"/>
      <c r="L2" s="77"/>
      <c r="M2" s="77"/>
      <c r="O2" s="77"/>
      <c r="P2" s="77"/>
      <c r="Q2" s="77"/>
      <c r="R2" s="77"/>
      <c r="S2" s="77"/>
      <c r="T2" s="77"/>
      <c r="U2" s="77"/>
      <c r="V2" s="77"/>
      <c r="W2" s="77"/>
    </row>
    <row r="3" ht="12.75" customHeight="1">
      <c r="A3" s="77"/>
      <c r="B3" s="75" t="s">
        <v>24</v>
      </c>
      <c r="C3" s="76" t="str">
        <f>'1. Setup &amp; Recap'!O12</f>
        <v/>
      </c>
      <c r="D3" s="77"/>
      <c r="E3" s="77"/>
      <c r="F3" s="78" t="s">
        <v>90</v>
      </c>
      <c r="G3" s="83">
        <f>'1. Setup &amp; Recap'!G3</f>
        <v>6</v>
      </c>
      <c r="H3" s="77"/>
      <c r="I3" s="77"/>
      <c r="J3" s="77"/>
      <c r="K3" s="77"/>
      <c r="L3" s="77"/>
      <c r="M3" s="77"/>
      <c r="N3" s="5"/>
      <c r="O3" s="77"/>
      <c r="P3" s="77"/>
      <c r="Q3" s="77"/>
      <c r="R3" s="77"/>
      <c r="S3" s="77"/>
      <c r="T3" s="77"/>
      <c r="U3" s="77"/>
      <c r="V3" s="77"/>
      <c r="W3" s="77"/>
    </row>
    <row r="4" ht="12.75" customHeight="1">
      <c r="A4" s="77"/>
      <c r="B4" s="75" t="s">
        <v>26</v>
      </c>
      <c r="C4" s="76" t="str">
        <f>'1. Setup &amp; Recap'!O13</f>
        <v/>
      </c>
      <c r="D4" s="77"/>
      <c r="E4" s="77"/>
      <c r="F4" s="78" t="s">
        <v>91</v>
      </c>
      <c r="G4" s="83">
        <f>'1. Setup &amp; Recap'!G5</f>
        <v>10</v>
      </c>
      <c r="H4" s="77"/>
      <c r="I4" s="77"/>
      <c r="J4" s="77"/>
      <c r="K4" s="77"/>
      <c r="L4" s="77"/>
      <c r="M4" s="77"/>
      <c r="N4" s="14"/>
      <c r="O4" s="77"/>
      <c r="P4" s="77"/>
      <c r="Q4" s="77"/>
      <c r="R4" s="77"/>
      <c r="S4" s="77"/>
      <c r="T4" s="77"/>
      <c r="U4" s="77"/>
      <c r="V4" s="77"/>
      <c r="W4" s="77"/>
    </row>
    <row r="5" ht="12.75" customHeight="1">
      <c r="A5" s="77"/>
      <c r="B5" s="75" t="s">
        <v>28</v>
      </c>
      <c r="C5" s="84" t="str">
        <f>'1. Setup &amp; Recap'!O14</f>
        <v/>
      </c>
      <c r="D5" s="77"/>
      <c r="E5" s="77"/>
      <c r="F5" s="78" t="s">
        <v>92</v>
      </c>
      <c r="G5" s="85">
        <f>CAW</f>
        <v>23</v>
      </c>
      <c r="H5" s="77"/>
      <c r="I5" s="86" t="s">
        <v>93</v>
      </c>
      <c r="J5" s="87" t="s">
        <v>94</v>
      </c>
      <c r="K5" s="88" t="s">
        <v>95</v>
      </c>
      <c r="L5" s="77"/>
      <c r="M5" s="77"/>
      <c r="N5" s="14"/>
      <c r="O5" s="77"/>
      <c r="P5" s="77"/>
      <c r="Q5" s="77"/>
      <c r="R5" s="77"/>
      <c r="S5" s="77"/>
      <c r="T5" s="77"/>
      <c r="U5" s="77"/>
      <c r="V5" s="77"/>
      <c r="W5" s="77"/>
    </row>
    <row r="6" ht="12.75" customHeight="1">
      <c r="A6" s="77"/>
      <c r="B6" s="75" t="s">
        <v>96</v>
      </c>
      <c r="C6" s="89"/>
      <c r="D6" s="77"/>
      <c r="E6" s="77"/>
      <c r="F6" s="78" t="s">
        <v>97</v>
      </c>
      <c r="G6" s="90">
        <f>'1. Setup &amp; Recap'!G7</f>
        <v>0.12</v>
      </c>
      <c r="H6" s="77"/>
      <c r="I6" s="91" t="s">
        <v>98</v>
      </c>
      <c r="J6" s="92">
        <f>DSUM(F9:G997,F9,K5:K6)</f>
        <v>16.9</v>
      </c>
      <c r="K6" s="93" t="s">
        <v>99</v>
      </c>
      <c r="L6" s="77"/>
      <c r="M6" s="77"/>
      <c r="N6" s="14"/>
      <c r="O6" s="14"/>
      <c r="P6" s="77"/>
      <c r="Q6" s="77"/>
      <c r="R6" s="77"/>
      <c r="S6" s="77"/>
      <c r="T6" s="77"/>
      <c r="U6" s="77"/>
      <c r="V6" s="77"/>
      <c r="W6" s="77"/>
    </row>
    <row r="7" ht="12.75" customHeight="1">
      <c r="A7" s="77"/>
      <c r="B7" s="75"/>
      <c r="C7" s="78"/>
      <c r="D7" s="77"/>
      <c r="E7" s="77"/>
      <c r="F7" s="78" t="s">
        <v>100</v>
      </c>
      <c r="G7" s="94">
        <f>'1. Setup &amp; Recap'!G6</f>
        <v>0.1</v>
      </c>
      <c r="H7" s="77"/>
      <c r="I7" s="77"/>
      <c r="J7" s="77"/>
      <c r="K7" s="77"/>
      <c r="L7" s="77"/>
      <c r="M7" s="77"/>
      <c r="N7" s="14"/>
      <c r="O7" s="77"/>
      <c r="P7" s="77"/>
      <c r="Q7" s="77"/>
      <c r="R7" s="77"/>
      <c r="S7" s="77"/>
      <c r="T7" s="77"/>
      <c r="U7" s="77"/>
      <c r="V7" s="77"/>
      <c r="W7" s="77"/>
    </row>
    <row r="8" ht="12.75" customHeight="1">
      <c r="A8" s="77"/>
      <c r="B8" s="75"/>
      <c r="C8" s="78"/>
      <c r="D8" s="77"/>
      <c r="E8" s="77"/>
      <c r="F8" s="95" t="s">
        <v>101</v>
      </c>
      <c r="G8" s="96"/>
      <c r="H8" s="97"/>
      <c r="I8" s="98" t="str">
        <f>F8*H8</f>
        <v>#VALUE!</v>
      </c>
      <c r="J8" s="98" t="str">
        <f>F8*H8</f>
        <v>#VALUE!</v>
      </c>
      <c r="K8" s="98" t="str">
        <f>F8*H8</f>
        <v>#VALUE!</v>
      </c>
      <c r="L8" s="98" t="str">
        <f>F8*H8</f>
        <v>#VALUE!</v>
      </c>
      <c r="M8" s="77"/>
      <c r="N8" s="14"/>
      <c r="O8" s="77"/>
      <c r="P8" s="77"/>
      <c r="Q8" s="77"/>
      <c r="R8" s="77"/>
      <c r="S8" s="77"/>
      <c r="T8" s="77"/>
      <c r="U8" s="77"/>
      <c r="V8" s="77"/>
      <c r="W8" s="77"/>
    </row>
    <row r="9" ht="12.75" customHeight="1">
      <c r="A9" s="78" t="s">
        <v>102</v>
      </c>
      <c r="B9" s="78" t="s">
        <v>103</v>
      </c>
      <c r="C9" s="78"/>
      <c r="D9" s="78"/>
      <c r="E9" s="78"/>
      <c r="F9" s="99" t="s">
        <v>94</v>
      </c>
      <c r="G9" s="100" t="s">
        <v>95</v>
      </c>
      <c r="H9" s="99" t="s">
        <v>104</v>
      </c>
      <c r="I9" s="99" t="s">
        <v>105</v>
      </c>
      <c r="J9" s="99" t="s">
        <v>36</v>
      </c>
      <c r="K9" s="99" t="s">
        <v>106</v>
      </c>
      <c r="L9" s="99" t="s">
        <v>107</v>
      </c>
      <c r="M9" s="77"/>
      <c r="N9" s="14"/>
      <c r="O9" s="77"/>
      <c r="P9" s="77"/>
      <c r="Q9" s="77"/>
      <c r="R9" s="77"/>
      <c r="S9" s="77"/>
      <c r="T9" s="77"/>
      <c r="U9" s="77"/>
      <c r="V9" s="77"/>
      <c r="W9" s="77"/>
    </row>
    <row r="10" ht="12.75" customHeight="1">
      <c r="A10" s="101"/>
      <c r="B10" s="102" t="s">
        <v>108</v>
      </c>
      <c r="C10" s="102"/>
      <c r="D10" s="102"/>
      <c r="E10" s="103"/>
      <c r="F10" s="104"/>
      <c r="G10" s="105"/>
      <c r="H10" s="104"/>
      <c r="I10" s="106">
        <f t="shared" ref="I10:L10" si="1">SUM(I11:I997)</f>
        <v>1710</v>
      </c>
      <c r="J10" s="106">
        <f t="shared" si="1"/>
        <v>388.7</v>
      </c>
      <c r="K10" s="106">
        <f t="shared" si="1"/>
        <v>24.9</v>
      </c>
      <c r="L10" s="106">
        <f t="shared" si="1"/>
        <v>0</v>
      </c>
      <c r="M10" s="77"/>
      <c r="N10" s="14"/>
      <c r="O10" s="77"/>
      <c r="P10" s="77"/>
      <c r="Q10" s="77"/>
      <c r="R10" s="77"/>
      <c r="S10" s="77"/>
      <c r="T10" s="77"/>
      <c r="U10" s="77"/>
      <c r="V10" s="77"/>
      <c r="W10" s="77"/>
    </row>
    <row r="11" ht="12.75" customHeight="1">
      <c r="A11" s="107"/>
      <c r="B11" s="108" t="s">
        <v>35</v>
      </c>
      <c r="C11" s="109"/>
      <c r="D11" s="109"/>
      <c r="E11" s="109"/>
      <c r="F11" s="117"/>
      <c r="G11" s="118"/>
      <c r="H11" s="119"/>
      <c r="I11" s="111">
        <f t="shared" ref="I11:I16" si="2">F11*H11</f>
        <v>0</v>
      </c>
      <c r="J11" s="112"/>
      <c r="K11" s="113"/>
      <c r="L11" s="113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</row>
    <row r="12" ht="12.75" customHeight="1">
      <c r="A12" s="114"/>
      <c r="B12" s="115" t="s">
        <v>192</v>
      </c>
      <c r="C12" s="116"/>
      <c r="D12" s="116"/>
      <c r="E12" s="116"/>
      <c r="F12" s="117">
        <v>3.0</v>
      </c>
      <c r="G12" s="118" t="s">
        <v>193</v>
      </c>
      <c r="H12" s="123">
        <v>335.0</v>
      </c>
      <c r="I12" s="120">
        <f t="shared" si="2"/>
        <v>1005</v>
      </c>
      <c r="J12" s="121"/>
      <c r="K12" s="120"/>
      <c r="L12" s="112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</row>
    <row r="13" ht="12.75" customHeight="1">
      <c r="A13" s="114"/>
      <c r="B13" s="122" t="s">
        <v>194</v>
      </c>
      <c r="C13" s="116"/>
      <c r="D13" s="116"/>
      <c r="E13" s="116"/>
      <c r="F13" s="117">
        <v>1.0</v>
      </c>
      <c r="G13" s="118" t="s">
        <v>31</v>
      </c>
      <c r="H13" s="123">
        <v>175.0</v>
      </c>
      <c r="I13" s="120">
        <f t="shared" si="2"/>
        <v>175</v>
      </c>
      <c r="J13" s="120"/>
      <c r="K13" s="121"/>
      <c r="L13" s="112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</row>
    <row r="14" ht="12.75" customHeight="1">
      <c r="A14" s="114"/>
      <c r="B14" s="21" t="s">
        <v>195</v>
      </c>
      <c r="C14" s="122"/>
      <c r="D14" s="116"/>
      <c r="E14" s="116"/>
      <c r="F14" s="117">
        <v>8.0</v>
      </c>
      <c r="G14" s="118" t="s">
        <v>196</v>
      </c>
      <c r="H14" s="119">
        <v>45.0</v>
      </c>
      <c r="I14" s="120">
        <f t="shared" si="2"/>
        <v>360</v>
      </c>
      <c r="J14" s="120"/>
      <c r="K14" s="121"/>
      <c r="L14" s="112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</row>
    <row r="15" ht="12.75" customHeight="1">
      <c r="A15" s="114"/>
      <c r="B15" s="122" t="s">
        <v>197</v>
      </c>
      <c r="C15" s="116"/>
      <c r="D15" s="116"/>
      <c r="E15" s="116"/>
      <c r="F15" s="117">
        <v>1.0</v>
      </c>
      <c r="G15" s="118" t="s">
        <v>31</v>
      </c>
      <c r="H15" s="123">
        <v>125.0</v>
      </c>
      <c r="I15" s="120">
        <f t="shared" si="2"/>
        <v>125</v>
      </c>
      <c r="J15" s="121"/>
      <c r="K15" s="120"/>
      <c r="L15" s="112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</row>
    <row r="16" ht="12.75" customHeight="1">
      <c r="A16" s="114"/>
      <c r="B16" s="122" t="s">
        <v>198</v>
      </c>
      <c r="C16" s="116"/>
      <c r="D16" s="116"/>
      <c r="E16" s="116"/>
      <c r="F16" s="117">
        <v>1.0</v>
      </c>
      <c r="G16" s="118" t="s">
        <v>199</v>
      </c>
      <c r="H16" s="119">
        <v>45.0</v>
      </c>
      <c r="I16" s="120">
        <f t="shared" si="2"/>
        <v>45</v>
      </c>
      <c r="J16" s="121"/>
      <c r="K16" s="120"/>
      <c r="L16" s="112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</row>
    <row r="17" ht="12.75" customHeight="1">
      <c r="A17" s="114"/>
      <c r="B17" s="21"/>
      <c r="C17" s="116"/>
      <c r="D17" s="116"/>
      <c r="E17" s="116"/>
      <c r="F17" s="117"/>
      <c r="G17" s="125"/>
      <c r="H17" s="123"/>
      <c r="I17" s="120"/>
      <c r="J17" s="124"/>
      <c r="K17" s="120"/>
      <c r="L17" s="139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</row>
    <row r="18" ht="12.75" customHeight="1">
      <c r="A18" s="107"/>
      <c r="B18" s="122"/>
      <c r="C18" s="122"/>
      <c r="D18" s="116"/>
      <c r="E18" s="116"/>
      <c r="F18" s="117"/>
      <c r="G18" s="118"/>
      <c r="H18" s="119"/>
      <c r="I18" s="120"/>
      <c r="J18" s="120"/>
      <c r="K18" s="120"/>
      <c r="L18" s="111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</row>
    <row r="19" ht="12.75" customHeight="1">
      <c r="A19" s="107"/>
      <c r="B19" s="127" t="s">
        <v>36</v>
      </c>
      <c r="C19" s="122"/>
      <c r="D19" s="116"/>
      <c r="E19" s="116"/>
      <c r="F19" s="117"/>
      <c r="G19" s="118"/>
      <c r="H19" s="119"/>
      <c r="I19" s="120"/>
      <c r="J19" s="120">
        <f t="shared" ref="J19:J23" si="3">F19*H19</f>
        <v>0</v>
      </c>
      <c r="K19" s="120"/>
      <c r="L19" s="111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</row>
    <row r="20" ht="12.75" customHeight="1">
      <c r="A20" s="107"/>
      <c r="B20" s="122" t="s">
        <v>200</v>
      </c>
      <c r="C20" s="122"/>
      <c r="D20" s="116"/>
      <c r="E20" s="116"/>
      <c r="F20" s="117">
        <v>1.2</v>
      </c>
      <c r="G20" s="118" t="s">
        <v>99</v>
      </c>
      <c r="H20" s="119">
        <v>23.0</v>
      </c>
      <c r="I20" s="120"/>
      <c r="J20" s="120">
        <f t="shared" si="3"/>
        <v>27.6</v>
      </c>
      <c r="K20" s="120"/>
      <c r="L20" s="112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</row>
    <row r="21" ht="12.75" customHeight="1">
      <c r="A21" s="107"/>
      <c r="B21" s="122" t="s">
        <v>201</v>
      </c>
      <c r="C21" s="122"/>
      <c r="D21" s="116"/>
      <c r="E21" s="116"/>
      <c r="F21" s="117">
        <v>13.5</v>
      </c>
      <c r="G21" s="118" t="s">
        <v>99</v>
      </c>
      <c r="H21" s="119">
        <v>23.0</v>
      </c>
      <c r="I21" s="120"/>
      <c r="J21" s="120">
        <f t="shared" si="3"/>
        <v>310.5</v>
      </c>
      <c r="K21" s="120"/>
      <c r="L21" s="140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</row>
    <row r="22" ht="12.75" customHeight="1">
      <c r="A22" s="114"/>
      <c r="B22" s="116" t="s">
        <v>202</v>
      </c>
      <c r="C22" s="116"/>
      <c r="D22" s="116"/>
      <c r="E22" s="116"/>
      <c r="F22" s="117">
        <v>1.2</v>
      </c>
      <c r="G22" s="118" t="s">
        <v>99</v>
      </c>
      <c r="H22" s="119">
        <v>23.0</v>
      </c>
      <c r="I22" s="121"/>
      <c r="J22" s="120">
        <f t="shared" si="3"/>
        <v>27.6</v>
      </c>
      <c r="K22" s="120"/>
      <c r="L22" s="139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</row>
    <row r="23" ht="12.75" customHeight="1">
      <c r="A23" s="114"/>
      <c r="B23" s="116" t="s">
        <v>203</v>
      </c>
      <c r="C23" s="116"/>
      <c r="D23" s="116"/>
      <c r="E23" s="116"/>
      <c r="F23" s="117">
        <v>1.0</v>
      </c>
      <c r="G23" s="118" t="s">
        <v>99</v>
      </c>
      <c r="H23" s="119">
        <v>23.0</v>
      </c>
      <c r="I23" s="120"/>
      <c r="J23" s="120">
        <f t="shared" si="3"/>
        <v>23</v>
      </c>
      <c r="K23" s="120"/>
      <c r="L23" s="139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</row>
    <row r="24" ht="12.75" customHeight="1">
      <c r="A24" s="114"/>
      <c r="B24" s="116"/>
      <c r="C24" s="116"/>
      <c r="D24" s="116"/>
      <c r="E24" s="116"/>
      <c r="F24" s="117"/>
      <c r="G24" s="125"/>
      <c r="H24" s="119"/>
      <c r="I24" s="120"/>
      <c r="J24" s="120"/>
      <c r="K24" s="120"/>
      <c r="L24" s="139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</row>
    <row r="25" ht="12.75" customHeight="1">
      <c r="A25" s="114"/>
      <c r="B25" s="128" t="s">
        <v>37</v>
      </c>
      <c r="C25" s="116"/>
      <c r="D25" s="116"/>
      <c r="E25" s="116"/>
      <c r="F25" s="117"/>
      <c r="G25" s="125"/>
      <c r="H25" s="123"/>
      <c r="I25" s="120"/>
      <c r="J25" s="124"/>
      <c r="K25" s="120"/>
      <c r="L25" s="139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</row>
    <row r="26" ht="12.75" customHeight="1">
      <c r="A26" s="114"/>
      <c r="B26" s="116" t="s">
        <v>204</v>
      </c>
      <c r="C26" s="116"/>
      <c r="D26" s="116"/>
      <c r="E26" s="116"/>
      <c r="F26" s="117">
        <v>24.9</v>
      </c>
      <c r="G26" s="125" t="s">
        <v>180</v>
      </c>
      <c r="H26" s="119">
        <v>1.0</v>
      </c>
      <c r="I26" s="121"/>
      <c r="J26" s="124"/>
      <c r="K26" s="120">
        <f>F26*H26</f>
        <v>24.9</v>
      </c>
      <c r="L26" s="139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</row>
    <row r="27" ht="12.75" customHeight="1">
      <c r="A27" s="114"/>
      <c r="B27" s="122"/>
      <c r="C27" s="122"/>
      <c r="D27" s="116"/>
      <c r="E27" s="116"/>
      <c r="F27" s="117"/>
      <c r="G27" s="125"/>
      <c r="H27" s="141"/>
      <c r="I27" s="111"/>
      <c r="J27" s="139"/>
      <c r="K27" s="111"/>
      <c r="L27" s="139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</row>
    <row r="28" ht="12.75" customHeight="1">
      <c r="A28" s="114"/>
      <c r="B28" s="21"/>
      <c r="C28" s="122"/>
      <c r="D28" s="116"/>
      <c r="E28" s="116"/>
      <c r="F28" s="117"/>
      <c r="G28" s="125"/>
      <c r="H28" s="141"/>
      <c r="I28" s="112"/>
      <c r="J28" s="139"/>
      <c r="K28" s="111"/>
      <c r="L28" s="142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</row>
    <row r="29" ht="12.75" customHeight="1">
      <c r="A29" s="114"/>
      <c r="B29" s="122"/>
      <c r="C29" s="116"/>
      <c r="D29" s="116"/>
      <c r="E29" s="116"/>
      <c r="F29" s="117"/>
      <c r="G29" s="125"/>
      <c r="H29" s="141"/>
      <c r="I29" s="112"/>
      <c r="J29" s="139"/>
      <c r="K29" s="139"/>
      <c r="L29" s="139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</row>
    <row r="30" ht="12.75" customHeight="1">
      <c r="A30" s="107"/>
      <c r="B30" s="122"/>
      <c r="C30" s="109"/>
      <c r="D30" s="109"/>
      <c r="E30" s="109"/>
      <c r="F30" s="117"/>
      <c r="G30" s="125"/>
      <c r="H30" s="143"/>
      <c r="I30" s="111"/>
      <c r="J30" s="140"/>
      <c r="K30" s="140"/>
      <c r="L30" s="140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</row>
    <row r="31" ht="12.75" customHeight="1">
      <c r="A31" s="114"/>
      <c r="B31" s="116"/>
      <c r="C31" s="122"/>
      <c r="D31" s="116"/>
      <c r="E31" s="116"/>
      <c r="F31" s="117"/>
      <c r="G31" s="125"/>
      <c r="H31" s="144"/>
      <c r="I31" s="112"/>
      <c r="J31" s="139"/>
      <c r="K31" s="139"/>
      <c r="L31" s="139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</row>
    <row r="32" ht="12.75" customHeight="1">
      <c r="A32" s="114"/>
      <c r="B32" s="116"/>
      <c r="C32" s="122"/>
      <c r="D32" s="116"/>
      <c r="E32" s="116"/>
      <c r="F32" s="117"/>
      <c r="G32" s="125"/>
      <c r="H32" s="141"/>
      <c r="I32" s="112"/>
      <c r="J32" s="139"/>
      <c r="K32" s="145"/>
      <c r="L32" s="139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</row>
    <row r="33" ht="12.75" customHeight="1">
      <c r="A33" s="114"/>
      <c r="B33" s="116"/>
      <c r="C33" s="122"/>
      <c r="D33" s="116"/>
      <c r="E33" s="116"/>
      <c r="F33" s="117"/>
      <c r="G33" s="125"/>
      <c r="H33" s="141"/>
      <c r="I33" s="111"/>
      <c r="J33" s="139"/>
      <c r="K33" s="111"/>
      <c r="L33" s="139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</row>
    <row r="34" ht="12.75" customHeight="1">
      <c r="A34" s="114"/>
      <c r="B34" s="116"/>
      <c r="C34" s="122"/>
      <c r="D34" s="116"/>
      <c r="E34" s="116"/>
      <c r="F34" s="117"/>
      <c r="G34" s="125"/>
      <c r="H34" s="141"/>
      <c r="I34" s="111"/>
      <c r="J34" s="111"/>
      <c r="K34" s="111"/>
      <c r="L34" s="139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</row>
    <row r="35" ht="12.75" customHeight="1">
      <c r="A35" s="114"/>
      <c r="B35" s="116"/>
      <c r="C35" s="122"/>
      <c r="D35" s="116"/>
      <c r="E35" s="116"/>
      <c r="F35" s="117"/>
      <c r="G35" s="125"/>
      <c r="H35" s="141"/>
      <c r="I35" s="111"/>
      <c r="J35" s="139"/>
      <c r="K35" s="139"/>
      <c r="L35" s="139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</row>
    <row r="36" ht="12.75" customHeight="1">
      <c r="A36" s="114"/>
      <c r="B36" s="116"/>
      <c r="C36" s="122"/>
      <c r="D36" s="116"/>
      <c r="E36" s="116"/>
      <c r="F36" s="117"/>
      <c r="G36" s="125"/>
      <c r="H36" s="141"/>
      <c r="I36" s="112"/>
      <c r="J36" s="139"/>
      <c r="K36" s="139"/>
      <c r="L36" s="139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</row>
    <row r="37" ht="12.75" customHeight="1">
      <c r="A37" s="107"/>
      <c r="B37" s="116"/>
      <c r="C37" s="122"/>
      <c r="D37" s="116"/>
      <c r="E37" s="116"/>
      <c r="F37" s="117"/>
      <c r="G37" s="125"/>
      <c r="H37" s="141"/>
      <c r="I37" s="111"/>
      <c r="J37" s="140"/>
      <c r="K37" s="140"/>
      <c r="L37" s="140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</row>
    <row r="38" ht="12.75" customHeight="1">
      <c r="A38" s="114"/>
      <c r="B38" s="116"/>
      <c r="C38" s="122"/>
      <c r="D38" s="116"/>
      <c r="E38" s="116"/>
      <c r="F38" s="117"/>
      <c r="G38" s="125"/>
      <c r="H38" s="141"/>
      <c r="I38" s="112"/>
      <c r="J38" s="139"/>
      <c r="K38" s="145"/>
      <c r="L38" s="139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</row>
    <row r="39" ht="12.75" customHeight="1">
      <c r="A39" s="114"/>
      <c r="B39" s="122"/>
      <c r="C39" s="116"/>
      <c r="D39" s="116"/>
      <c r="E39" s="116"/>
      <c r="F39" s="117"/>
      <c r="G39" s="125"/>
      <c r="H39" s="141"/>
      <c r="I39" s="112"/>
      <c r="J39" s="139"/>
      <c r="K39" s="139"/>
      <c r="L39" s="139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</row>
    <row r="40" ht="12.75" customHeight="1">
      <c r="A40" s="114"/>
      <c r="B40" s="122"/>
      <c r="C40" s="116"/>
      <c r="D40" s="116"/>
      <c r="E40" s="116"/>
      <c r="F40" s="117"/>
      <c r="G40" s="125"/>
      <c r="H40" s="141"/>
      <c r="I40" s="111"/>
      <c r="J40" s="139"/>
      <c r="K40" s="139"/>
      <c r="L40" s="139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</row>
    <row r="41" ht="12.75" customHeight="1">
      <c r="A41" s="114"/>
      <c r="B41" s="21"/>
      <c r="C41" s="122"/>
      <c r="D41" s="116"/>
      <c r="E41" s="116"/>
      <c r="F41" s="117"/>
      <c r="G41" s="125"/>
      <c r="H41" s="144"/>
      <c r="I41" s="112"/>
      <c r="J41" s="139"/>
      <c r="K41" s="139"/>
      <c r="L41" s="139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</row>
    <row r="42" ht="12.75" customHeight="1">
      <c r="A42" s="114"/>
      <c r="B42" s="122"/>
      <c r="C42" s="116"/>
      <c r="D42" s="116"/>
      <c r="E42" s="116"/>
      <c r="F42" s="117"/>
      <c r="G42" s="125"/>
      <c r="H42" s="141"/>
      <c r="I42" s="112"/>
      <c r="J42" s="139"/>
      <c r="K42" s="139"/>
      <c r="L42" s="139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</row>
    <row r="43" ht="12.75" customHeight="1">
      <c r="A43" s="114"/>
      <c r="B43" s="122"/>
      <c r="C43" s="116"/>
      <c r="D43" s="116"/>
      <c r="E43" s="116"/>
      <c r="F43" s="117"/>
      <c r="G43" s="125"/>
      <c r="H43" s="141"/>
      <c r="I43" s="111"/>
      <c r="J43" s="139"/>
      <c r="K43" s="139"/>
      <c r="L43" s="139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</row>
    <row r="44" ht="12.75" customHeight="1">
      <c r="A44" s="114"/>
      <c r="B44" s="21"/>
      <c r="C44" s="122"/>
      <c r="D44" s="116"/>
      <c r="E44" s="116"/>
      <c r="F44" s="117"/>
      <c r="G44" s="125"/>
      <c r="H44" s="144"/>
      <c r="I44" s="112"/>
      <c r="J44" s="139"/>
      <c r="K44" s="139"/>
      <c r="L44" s="139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</row>
    <row r="45" ht="12.75" customHeight="1">
      <c r="A45" s="114"/>
      <c r="B45" s="146"/>
      <c r="C45" s="114"/>
      <c r="D45" s="114"/>
      <c r="E45" s="114"/>
      <c r="F45" s="131"/>
      <c r="G45" s="132"/>
      <c r="H45" s="133"/>
      <c r="I45" s="112"/>
      <c r="J45" s="139"/>
      <c r="K45" s="139"/>
      <c r="L45" s="139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</row>
    <row r="46" ht="12.75" customHeight="1">
      <c r="A46" s="107"/>
      <c r="B46" s="146"/>
      <c r="C46" s="107"/>
      <c r="D46" s="107"/>
      <c r="E46" s="107"/>
      <c r="F46" s="131"/>
      <c r="G46" s="132"/>
      <c r="H46" s="136"/>
      <c r="I46" s="111"/>
      <c r="J46" s="140"/>
      <c r="K46" s="140"/>
      <c r="L46" s="140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</row>
    <row r="47" ht="12.75" customHeight="1">
      <c r="A47" s="107"/>
      <c r="B47" s="77"/>
      <c r="C47" s="146"/>
      <c r="D47" s="107"/>
      <c r="E47" s="107"/>
      <c r="F47" s="131"/>
      <c r="G47" s="132"/>
      <c r="H47" s="147"/>
      <c r="I47" s="113"/>
      <c r="J47" s="139"/>
      <c r="K47" s="140"/>
      <c r="L47" s="140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</row>
    <row r="48" ht="12.75" customHeight="1">
      <c r="A48" s="114"/>
      <c r="B48" s="146"/>
      <c r="C48" s="114"/>
      <c r="D48" s="114"/>
      <c r="E48" s="114"/>
      <c r="F48" s="131"/>
      <c r="G48" s="132"/>
      <c r="H48" s="133"/>
      <c r="I48" s="112"/>
      <c r="J48" s="139"/>
      <c r="K48" s="139"/>
      <c r="L48" s="139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</row>
    <row r="49" ht="12.75" customHeight="1">
      <c r="A49" s="114"/>
      <c r="B49" s="146"/>
      <c r="C49" s="114"/>
      <c r="D49" s="114"/>
      <c r="E49" s="114"/>
      <c r="F49" s="131"/>
      <c r="G49" s="132"/>
      <c r="H49" s="136"/>
      <c r="I49" s="111"/>
      <c r="J49" s="140"/>
      <c r="K49" s="139"/>
      <c r="L49" s="139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</row>
    <row r="50" ht="12.75" customHeight="1">
      <c r="A50" s="114"/>
      <c r="B50" s="114"/>
      <c r="C50" s="146"/>
      <c r="D50" s="114"/>
      <c r="E50" s="114"/>
      <c r="F50" s="131"/>
      <c r="G50" s="132"/>
      <c r="H50" s="147"/>
      <c r="I50" s="113"/>
      <c r="J50" s="139"/>
      <c r="K50" s="139"/>
      <c r="L50" s="139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</row>
    <row r="51" ht="12.75" customHeight="1">
      <c r="A51" s="114"/>
      <c r="B51" s="114"/>
      <c r="C51" s="114"/>
      <c r="D51" s="114"/>
      <c r="E51" s="114"/>
      <c r="F51" s="131"/>
      <c r="G51" s="132"/>
      <c r="H51" s="133"/>
      <c r="I51" s="112"/>
      <c r="J51" s="139"/>
      <c r="K51" s="139"/>
      <c r="L51" s="139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</row>
    <row r="52" ht="12.75" customHeight="1">
      <c r="A52" s="114"/>
      <c r="B52" s="114"/>
      <c r="C52" s="114"/>
      <c r="D52" s="114"/>
      <c r="E52" s="114"/>
      <c r="F52" s="131"/>
      <c r="G52" s="132"/>
      <c r="H52" s="133"/>
      <c r="I52" s="112"/>
      <c r="J52" s="139"/>
      <c r="K52" s="139"/>
      <c r="L52" s="139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</row>
    <row r="53" ht="12.75" customHeight="1">
      <c r="A53" s="114"/>
      <c r="B53" s="146"/>
      <c r="C53" s="114"/>
      <c r="D53" s="114"/>
      <c r="E53" s="114"/>
      <c r="F53" s="131"/>
      <c r="G53" s="132"/>
      <c r="H53" s="147"/>
      <c r="I53" s="112"/>
      <c r="J53" s="139"/>
      <c r="K53" s="139"/>
      <c r="L53" s="139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</row>
    <row r="54" ht="12.75" customHeight="1">
      <c r="A54" s="114"/>
      <c r="B54" s="114"/>
      <c r="C54" s="114"/>
      <c r="D54" s="114"/>
      <c r="E54" s="114"/>
      <c r="F54" s="131"/>
      <c r="G54" s="132"/>
      <c r="H54" s="133"/>
      <c r="I54" s="112"/>
      <c r="J54" s="139"/>
      <c r="K54" s="139"/>
      <c r="L54" s="139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</row>
    <row r="55" ht="12.75" customHeight="1">
      <c r="A55" s="114"/>
      <c r="B55" s="114"/>
      <c r="C55" s="114"/>
      <c r="D55" s="114"/>
      <c r="E55" s="114"/>
      <c r="F55" s="131"/>
      <c r="G55" s="132"/>
      <c r="H55" s="133"/>
      <c r="I55" s="112"/>
      <c r="J55" s="139"/>
      <c r="K55" s="139"/>
      <c r="L55" s="139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</row>
    <row r="56" ht="12.75" customHeight="1">
      <c r="A56" s="114"/>
      <c r="B56" s="114"/>
      <c r="C56" s="114"/>
      <c r="D56" s="114"/>
      <c r="E56" s="114"/>
      <c r="F56" s="131"/>
      <c r="G56" s="132"/>
      <c r="H56" s="133"/>
      <c r="I56" s="112"/>
      <c r="J56" s="139"/>
      <c r="K56" s="139"/>
      <c r="L56" s="139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</row>
    <row r="57" ht="12.75" customHeight="1">
      <c r="A57" s="114"/>
      <c r="B57" s="114"/>
      <c r="C57" s="114"/>
      <c r="D57" s="114"/>
      <c r="E57" s="114"/>
      <c r="F57" s="131"/>
      <c r="G57" s="132"/>
      <c r="H57" s="133"/>
      <c r="I57" s="112"/>
      <c r="J57" s="139"/>
      <c r="K57" s="139"/>
      <c r="L57" s="139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</row>
    <row r="58" ht="12.75" customHeight="1">
      <c r="A58" s="107"/>
      <c r="B58" s="107"/>
      <c r="C58" s="107"/>
      <c r="D58" s="107"/>
      <c r="E58" s="107"/>
      <c r="F58" s="134"/>
      <c r="G58" s="135"/>
      <c r="H58" s="136"/>
      <c r="I58" s="113"/>
      <c r="J58" s="140"/>
      <c r="K58" s="140"/>
      <c r="L58" s="140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</row>
    <row r="59" ht="12.75" customHeight="1">
      <c r="A59" s="114"/>
      <c r="B59" s="114"/>
      <c r="C59" s="114"/>
      <c r="D59" s="114"/>
      <c r="E59" s="114"/>
      <c r="F59" s="131"/>
      <c r="G59" s="132"/>
      <c r="H59" s="133"/>
      <c r="I59" s="112"/>
      <c r="J59" s="139"/>
      <c r="K59" s="139"/>
      <c r="L59" s="139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</row>
    <row r="60" ht="12.75" customHeight="1">
      <c r="A60" s="114"/>
      <c r="B60" s="114"/>
      <c r="C60" s="114"/>
      <c r="D60" s="114"/>
      <c r="E60" s="114"/>
      <c r="F60" s="131"/>
      <c r="G60" s="132"/>
      <c r="H60" s="133"/>
      <c r="I60" s="112"/>
      <c r="J60" s="139"/>
      <c r="K60" s="139"/>
      <c r="L60" s="139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</row>
    <row r="61" ht="12.75" customHeight="1">
      <c r="A61" s="114"/>
      <c r="B61" s="114"/>
      <c r="C61" s="114"/>
      <c r="D61" s="114"/>
      <c r="E61" s="114"/>
      <c r="F61" s="131"/>
      <c r="G61" s="132"/>
      <c r="H61" s="133"/>
      <c r="I61" s="112"/>
      <c r="J61" s="139"/>
      <c r="K61" s="139"/>
      <c r="L61" s="139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</row>
    <row r="62" ht="12.75" customHeight="1">
      <c r="A62" s="114"/>
      <c r="B62" s="114"/>
      <c r="C62" s="114"/>
      <c r="D62" s="114"/>
      <c r="E62" s="114"/>
      <c r="F62" s="131"/>
      <c r="G62" s="132"/>
      <c r="H62" s="133"/>
      <c r="I62" s="112"/>
      <c r="J62" s="139"/>
      <c r="K62" s="139"/>
      <c r="L62" s="139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</row>
    <row r="63" ht="12.75" customHeight="1">
      <c r="A63" s="114"/>
      <c r="B63" s="114"/>
      <c r="C63" s="114"/>
      <c r="D63" s="114"/>
      <c r="E63" s="114"/>
      <c r="F63" s="131"/>
      <c r="G63" s="132"/>
      <c r="H63" s="133"/>
      <c r="I63" s="112"/>
      <c r="J63" s="139"/>
      <c r="K63" s="139"/>
      <c r="L63" s="139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</row>
    <row r="64" ht="12.75" customHeight="1">
      <c r="A64" s="114"/>
      <c r="B64" s="114"/>
      <c r="C64" s="114"/>
      <c r="D64" s="114"/>
      <c r="E64" s="114"/>
      <c r="F64" s="131"/>
      <c r="G64" s="132"/>
      <c r="H64" s="133"/>
      <c r="I64" s="112"/>
      <c r="J64" s="112"/>
      <c r="K64" s="112"/>
      <c r="L64" s="112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</row>
    <row r="65" ht="12.75" customHeight="1">
      <c r="A65" s="114"/>
      <c r="B65" s="114"/>
      <c r="C65" s="114"/>
      <c r="D65" s="114"/>
      <c r="E65" s="114"/>
      <c r="F65" s="131"/>
      <c r="G65" s="132"/>
      <c r="H65" s="133"/>
      <c r="I65" s="112"/>
      <c r="J65" s="112"/>
      <c r="K65" s="112"/>
      <c r="L65" s="112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</row>
    <row r="66" ht="12.75" customHeight="1">
      <c r="A66" s="114"/>
      <c r="B66" s="114"/>
      <c r="C66" s="114"/>
      <c r="D66" s="114"/>
      <c r="E66" s="114"/>
      <c r="F66" s="131"/>
      <c r="G66" s="132"/>
      <c r="H66" s="133"/>
      <c r="I66" s="112"/>
      <c r="J66" s="112"/>
      <c r="K66" s="112"/>
      <c r="L66" s="112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</row>
    <row r="67" ht="12.75" customHeight="1">
      <c r="A67" s="107"/>
      <c r="B67" s="107"/>
      <c r="C67" s="107"/>
      <c r="D67" s="107"/>
      <c r="E67" s="107"/>
      <c r="F67" s="134"/>
      <c r="G67" s="135"/>
      <c r="H67" s="136"/>
      <c r="I67" s="113"/>
      <c r="J67" s="113"/>
      <c r="K67" s="113"/>
      <c r="L67" s="113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</row>
    <row r="68" ht="12.75" customHeight="1">
      <c r="A68" s="114"/>
      <c r="B68" s="114"/>
      <c r="C68" s="114"/>
      <c r="D68" s="114"/>
      <c r="E68" s="114"/>
      <c r="F68" s="131"/>
      <c r="G68" s="132"/>
      <c r="H68" s="133"/>
      <c r="I68" s="112"/>
      <c r="J68" s="112"/>
      <c r="K68" s="112"/>
      <c r="L68" s="112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</row>
    <row r="69" ht="12.75" customHeight="1">
      <c r="A69" s="114"/>
      <c r="B69" s="114"/>
      <c r="C69" s="114"/>
      <c r="D69" s="114"/>
      <c r="E69" s="114"/>
      <c r="F69" s="131"/>
      <c r="G69" s="132"/>
      <c r="H69" s="133"/>
      <c r="I69" s="112"/>
      <c r="J69" s="112"/>
      <c r="K69" s="112"/>
      <c r="L69" s="112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</row>
    <row r="70" ht="12.75" customHeight="1">
      <c r="A70" s="114"/>
      <c r="B70" s="114"/>
      <c r="C70" s="114"/>
      <c r="D70" s="114"/>
      <c r="E70" s="114"/>
      <c r="F70" s="131"/>
      <c r="G70" s="132"/>
      <c r="H70" s="133"/>
      <c r="I70" s="112"/>
      <c r="J70" s="112"/>
      <c r="K70" s="112"/>
      <c r="L70" s="112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</row>
    <row r="71" ht="12.75" customHeight="1">
      <c r="A71" s="114"/>
      <c r="B71" s="114"/>
      <c r="C71" s="114"/>
      <c r="D71" s="114"/>
      <c r="E71" s="114"/>
      <c r="F71" s="131"/>
      <c r="G71" s="132"/>
      <c r="H71" s="133"/>
      <c r="I71" s="112"/>
      <c r="J71" s="112"/>
      <c r="K71" s="112"/>
      <c r="L71" s="112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</row>
    <row r="72" ht="12.75" customHeight="1">
      <c r="A72" s="114"/>
      <c r="B72" s="114"/>
      <c r="C72" s="114"/>
      <c r="D72" s="114"/>
      <c r="E72" s="114"/>
      <c r="F72" s="131"/>
      <c r="G72" s="132"/>
      <c r="H72" s="133"/>
      <c r="I72" s="112"/>
      <c r="J72" s="112"/>
      <c r="K72" s="112"/>
      <c r="L72" s="112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</row>
    <row r="73" ht="12.75" customHeight="1">
      <c r="A73" s="114"/>
      <c r="B73" s="114"/>
      <c r="C73" s="114"/>
      <c r="D73" s="114"/>
      <c r="E73" s="114"/>
      <c r="F73" s="131"/>
      <c r="G73" s="132"/>
      <c r="H73" s="133"/>
      <c r="I73" s="112"/>
      <c r="J73" s="112"/>
      <c r="K73" s="112"/>
      <c r="L73" s="112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</row>
    <row r="74" ht="12.75" customHeight="1">
      <c r="A74" s="107"/>
      <c r="B74" s="107"/>
      <c r="C74" s="107"/>
      <c r="D74" s="107"/>
      <c r="E74" s="107"/>
      <c r="F74" s="134"/>
      <c r="G74" s="135"/>
      <c r="H74" s="136"/>
      <c r="I74" s="113"/>
      <c r="J74" s="113"/>
      <c r="K74" s="113"/>
      <c r="L74" s="113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</row>
    <row r="75" ht="12.75" customHeight="1">
      <c r="A75" s="114"/>
      <c r="B75" s="114"/>
      <c r="C75" s="114"/>
      <c r="D75" s="114"/>
      <c r="E75" s="114"/>
      <c r="F75" s="131"/>
      <c r="G75" s="132"/>
      <c r="H75" s="133"/>
      <c r="I75" s="112"/>
      <c r="J75" s="112"/>
      <c r="K75" s="112"/>
      <c r="L75" s="112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</row>
    <row r="76" ht="12.75" customHeight="1">
      <c r="A76" s="114"/>
      <c r="B76" s="114"/>
      <c r="C76" s="114"/>
      <c r="D76" s="114"/>
      <c r="E76" s="114"/>
      <c r="F76" s="131"/>
      <c r="G76" s="132"/>
      <c r="H76" s="133"/>
      <c r="I76" s="112"/>
      <c r="J76" s="112"/>
      <c r="K76" s="112"/>
      <c r="L76" s="112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</row>
    <row r="77" ht="12.75" customHeight="1">
      <c r="A77" s="114"/>
      <c r="B77" s="114"/>
      <c r="C77" s="114"/>
      <c r="D77" s="114"/>
      <c r="E77" s="114"/>
      <c r="F77" s="131"/>
      <c r="G77" s="132"/>
      <c r="H77" s="133"/>
      <c r="I77" s="112"/>
      <c r="J77" s="112"/>
      <c r="K77" s="112"/>
      <c r="L77" s="112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</row>
    <row r="78" ht="12.75" customHeight="1">
      <c r="A78" s="114"/>
      <c r="B78" s="114"/>
      <c r="C78" s="114"/>
      <c r="D78" s="114"/>
      <c r="E78" s="114"/>
      <c r="F78" s="131"/>
      <c r="G78" s="132"/>
      <c r="H78" s="133"/>
      <c r="I78" s="112"/>
      <c r="J78" s="112"/>
      <c r="K78" s="112"/>
      <c r="L78" s="112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</row>
    <row r="79" ht="12.75" customHeight="1">
      <c r="A79" s="114"/>
      <c r="B79" s="114"/>
      <c r="C79" s="114"/>
      <c r="D79" s="114"/>
      <c r="E79" s="114"/>
      <c r="F79" s="131"/>
      <c r="G79" s="132"/>
      <c r="H79" s="133"/>
      <c r="I79" s="112"/>
      <c r="J79" s="112"/>
      <c r="K79" s="112"/>
      <c r="L79" s="112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</row>
    <row r="80" ht="12.75" customHeight="1">
      <c r="A80" s="114"/>
      <c r="B80" s="114"/>
      <c r="C80" s="114"/>
      <c r="D80" s="114"/>
      <c r="E80" s="114"/>
      <c r="F80" s="131"/>
      <c r="G80" s="132"/>
      <c r="H80" s="133"/>
      <c r="I80" s="112"/>
      <c r="J80" s="112"/>
      <c r="K80" s="112"/>
      <c r="L80" s="112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</row>
    <row r="81" ht="12.75" customHeight="1">
      <c r="A81" s="114"/>
      <c r="B81" s="114"/>
      <c r="C81" s="114"/>
      <c r="D81" s="114"/>
      <c r="E81" s="114"/>
      <c r="F81" s="131"/>
      <c r="G81" s="132"/>
      <c r="H81" s="133"/>
      <c r="I81" s="112"/>
      <c r="J81" s="112"/>
      <c r="K81" s="112"/>
      <c r="L81" s="112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</row>
    <row r="82" ht="12.75" customHeight="1">
      <c r="A82" s="114"/>
      <c r="B82" s="114"/>
      <c r="C82" s="114"/>
      <c r="D82" s="114"/>
      <c r="E82" s="114"/>
      <c r="F82" s="131"/>
      <c r="G82" s="132"/>
      <c r="H82" s="133"/>
      <c r="I82" s="112"/>
      <c r="J82" s="112"/>
      <c r="K82" s="112"/>
      <c r="L82" s="112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</row>
    <row r="83" ht="12.75" customHeight="1">
      <c r="A83" s="107"/>
      <c r="B83" s="107"/>
      <c r="C83" s="107"/>
      <c r="D83" s="107"/>
      <c r="E83" s="107"/>
      <c r="F83" s="134"/>
      <c r="G83" s="135"/>
      <c r="H83" s="136"/>
      <c r="I83" s="113"/>
      <c r="J83" s="113"/>
      <c r="K83" s="113"/>
      <c r="L83" s="113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</row>
    <row r="84" ht="12.75" customHeight="1">
      <c r="A84" s="107"/>
      <c r="B84" s="107"/>
      <c r="C84" s="107"/>
      <c r="D84" s="107"/>
      <c r="E84" s="107"/>
      <c r="F84" s="134"/>
      <c r="G84" s="135"/>
      <c r="H84" s="136"/>
      <c r="I84" s="113"/>
      <c r="J84" s="113"/>
      <c r="K84" s="113"/>
      <c r="L84" s="113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</row>
    <row r="85" ht="12.75" customHeight="1">
      <c r="A85" s="114"/>
      <c r="B85" s="114"/>
      <c r="C85" s="114"/>
      <c r="D85" s="114"/>
      <c r="E85" s="114"/>
      <c r="F85" s="131"/>
      <c r="G85" s="132"/>
      <c r="H85" s="133"/>
      <c r="I85" s="112"/>
      <c r="J85" s="112"/>
      <c r="K85" s="112"/>
      <c r="L85" s="112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</row>
    <row r="86" ht="12.75" customHeight="1">
      <c r="A86" s="114"/>
      <c r="B86" s="114"/>
      <c r="C86" s="114"/>
      <c r="D86" s="114"/>
      <c r="E86" s="114"/>
      <c r="F86" s="131"/>
      <c r="G86" s="132"/>
      <c r="H86" s="133"/>
      <c r="I86" s="112"/>
      <c r="J86" s="112"/>
      <c r="K86" s="112"/>
      <c r="L86" s="112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</row>
    <row r="87" ht="12.75" customHeight="1">
      <c r="A87" s="114"/>
      <c r="B87" s="114"/>
      <c r="C87" s="114"/>
      <c r="D87" s="114"/>
      <c r="E87" s="114"/>
      <c r="F87" s="131"/>
      <c r="G87" s="132"/>
      <c r="H87" s="133"/>
      <c r="I87" s="112"/>
      <c r="J87" s="112"/>
      <c r="K87" s="112"/>
      <c r="L87" s="112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</row>
    <row r="88" ht="12.75" customHeight="1">
      <c r="A88" s="114"/>
      <c r="B88" s="114"/>
      <c r="C88" s="114"/>
      <c r="D88" s="114"/>
      <c r="E88" s="114"/>
      <c r="F88" s="131"/>
      <c r="G88" s="132"/>
      <c r="H88" s="133"/>
      <c r="I88" s="112"/>
      <c r="J88" s="112"/>
      <c r="K88" s="112"/>
      <c r="L88" s="112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</row>
    <row r="89" ht="12.75" customHeight="1">
      <c r="A89" s="114"/>
      <c r="B89" s="114"/>
      <c r="C89" s="114"/>
      <c r="D89" s="114"/>
      <c r="E89" s="114"/>
      <c r="F89" s="131"/>
      <c r="G89" s="132"/>
      <c r="H89" s="133"/>
      <c r="I89" s="112"/>
      <c r="J89" s="112"/>
      <c r="K89" s="112"/>
      <c r="L89" s="112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</row>
    <row r="90" ht="12.75" customHeight="1">
      <c r="A90" s="114"/>
      <c r="B90" s="114"/>
      <c r="C90" s="114"/>
      <c r="D90" s="114"/>
      <c r="E90" s="114"/>
      <c r="F90" s="131"/>
      <c r="G90" s="132"/>
      <c r="H90" s="133"/>
      <c r="I90" s="112"/>
      <c r="J90" s="112"/>
      <c r="K90" s="112"/>
      <c r="L90" s="112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</row>
    <row r="91" ht="12.75" customHeight="1">
      <c r="A91" s="114"/>
      <c r="B91" s="114"/>
      <c r="C91" s="114"/>
      <c r="D91" s="114"/>
      <c r="E91" s="114"/>
      <c r="F91" s="131"/>
      <c r="G91" s="132"/>
      <c r="H91" s="133"/>
      <c r="I91" s="112"/>
      <c r="J91" s="112"/>
      <c r="K91" s="112"/>
      <c r="L91" s="112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</row>
    <row r="92" ht="12.75" customHeight="1">
      <c r="A92" s="114"/>
      <c r="B92" s="114"/>
      <c r="C92" s="114"/>
      <c r="D92" s="114"/>
      <c r="E92" s="114"/>
      <c r="F92" s="131"/>
      <c r="G92" s="132"/>
      <c r="H92" s="133"/>
      <c r="I92" s="112"/>
      <c r="J92" s="112"/>
      <c r="K92" s="112"/>
      <c r="L92" s="112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</row>
    <row r="93" ht="12.75" customHeight="1">
      <c r="A93" s="114"/>
      <c r="B93" s="114"/>
      <c r="C93" s="114"/>
      <c r="D93" s="114"/>
      <c r="E93" s="114"/>
      <c r="F93" s="131"/>
      <c r="G93" s="132"/>
      <c r="H93" s="133"/>
      <c r="I93" s="112"/>
      <c r="J93" s="112"/>
      <c r="K93" s="112"/>
      <c r="L93" s="112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</row>
    <row r="94" ht="12.75" customHeight="1">
      <c r="A94" s="114"/>
      <c r="B94" s="114"/>
      <c r="C94" s="114"/>
      <c r="D94" s="114"/>
      <c r="E94" s="114"/>
      <c r="F94" s="131"/>
      <c r="G94" s="132"/>
      <c r="H94" s="133"/>
      <c r="I94" s="112"/>
      <c r="J94" s="112"/>
      <c r="K94" s="112"/>
      <c r="L94" s="112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</row>
    <row r="95" ht="12.75" customHeight="1">
      <c r="A95" s="114"/>
      <c r="B95" s="114"/>
      <c r="C95" s="114"/>
      <c r="D95" s="114"/>
      <c r="E95" s="114"/>
      <c r="F95" s="131"/>
      <c r="G95" s="132"/>
      <c r="H95" s="133"/>
      <c r="I95" s="112"/>
      <c r="J95" s="112"/>
      <c r="K95" s="112"/>
      <c r="L95" s="112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</row>
    <row r="96" ht="12.75" customHeight="1">
      <c r="A96" s="114"/>
      <c r="B96" s="114"/>
      <c r="C96" s="114"/>
      <c r="D96" s="114"/>
      <c r="E96" s="114"/>
      <c r="F96" s="131"/>
      <c r="G96" s="132"/>
      <c r="H96" s="133"/>
      <c r="I96" s="112"/>
      <c r="J96" s="112"/>
      <c r="K96" s="112"/>
      <c r="L96" s="112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</row>
    <row r="97" ht="12.75" customHeight="1">
      <c r="A97" s="107"/>
      <c r="B97" s="107"/>
      <c r="C97" s="107"/>
      <c r="D97" s="107"/>
      <c r="E97" s="107"/>
      <c r="F97" s="134"/>
      <c r="G97" s="135"/>
      <c r="H97" s="136"/>
      <c r="I97" s="113"/>
      <c r="J97" s="113"/>
      <c r="K97" s="113"/>
      <c r="L97" s="113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</row>
    <row r="98" ht="12.75" customHeight="1">
      <c r="A98" s="114"/>
      <c r="B98" s="114"/>
      <c r="C98" s="114"/>
      <c r="D98" s="114"/>
      <c r="E98" s="114"/>
      <c r="F98" s="131"/>
      <c r="G98" s="132"/>
      <c r="H98" s="133"/>
      <c r="I98" s="112"/>
      <c r="J98" s="112"/>
      <c r="K98" s="112"/>
      <c r="L98" s="112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</row>
    <row r="99" ht="12.75" customHeight="1">
      <c r="A99" s="114"/>
      <c r="B99" s="114"/>
      <c r="C99" s="114"/>
      <c r="D99" s="114"/>
      <c r="E99" s="114"/>
      <c r="F99" s="131"/>
      <c r="G99" s="132"/>
      <c r="H99" s="133"/>
      <c r="I99" s="112"/>
      <c r="J99" s="112"/>
      <c r="K99" s="112"/>
      <c r="L99" s="112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</row>
    <row r="100" ht="12.75" customHeight="1">
      <c r="A100" s="114"/>
      <c r="B100" s="114"/>
      <c r="C100" s="114"/>
      <c r="D100" s="114"/>
      <c r="E100" s="114"/>
      <c r="F100" s="131"/>
      <c r="G100" s="132"/>
      <c r="H100" s="133"/>
      <c r="I100" s="112"/>
      <c r="J100" s="112"/>
      <c r="K100" s="112"/>
      <c r="L100" s="112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</row>
    <row r="101" ht="12.75" customHeight="1">
      <c r="A101" s="114"/>
      <c r="B101" s="114"/>
      <c r="C101" s="114"/>
      <c r="D101" s="114"/>
      <c r="E101" s="114"/>
      <c r="F101" s="131"/>
      <c r="G101" s="132"/>
      <c r="H101" s="133"/>
      <c r="I101" s="112"/>
      <c r="J101" s="112"/>
      <c r="K101" s="112"/>
      <c r="L101" s="112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</row>
    <row r="102" ht="12.75" customHeight="1">
      <c r="A102" s="114"/>
      <c r="B102" s="114"/>
      <c r="C102" s="114"/>
      <c r="D102" s="114"/>
      <c r="E102" s="114"/>
      <c r="F102" s="131"/>
      <c r="G102" s="132"/>
      <c r="H102" s="133"/>
      <c r="I102" s="112"/>
      <c r="J102" s="112"/>
      <c r="K102" s="112"/>
      <c r="L102" s="112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</row>
    <row r="103" ht="12.75" customHeight="1">
      <c r="A103" s="114"/>
      <c r="B103" s="114"/>
      <c r="C103" s="114"/>
      <c r="D103" s="114"/>
      <c r="E103" s="114"/>
      <c r="F103" s="131"/>
      <c r="G103" s="132"/>
      <c r="H103" s="133"/>
      <c r="I103" s="112"/>
      <c r="J103" s="112"/>
      <c r="K103" s="112"/>
      <c r="L103" s="112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</row>
    <row r="104" ht="12.75" customHeight="1">
      <c r="A104" s="114"/>
      <c r="B104" s="114"/>
      <c r="C104" s="114"/>
      <c r="D104" s="114"/>
      <c r="E104" s="114"/>
      <c r="F104" s="131"/>
      <c r="G104" s="132"/>
      <c r="H104" s="133"/>
      <c r="I104" s="112"/>
      <c r="J104" s="112"/>
      <c r="K104" s="112"/>
      <c r="L104" s="112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</row>
    <row r="105" ht="12.75" customHeight="1">
      <c r="A105" s="114"/>
      <c r="B105" s="114"/>
      <c r="C105" s="114"/>
      <c r="D105" s="114"/>
      <c r="E105" s="114"/>
      <c r="F105" s="131"/>
      <c r="G105" s="132"/>
      <c r="H105" s="133"/>
      <c r="I105" s="112"/>
      <c r="J105" s="112"/>
      <c r="K105" s="112"/>
      <c r="L105" s="112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</row>
    <row r="106" ht="12.75" customHeight="1">
      <c r="A106" s="107"/>
      <c r="B106" s="107"/>
      <c r="C106" s="107"/>
      <c r="D106" s="107"/>
      <c r="E106" s="107"/>
      <c r="F106" s="134"/>
      <c r="G106" s="135"/>
      <c r="H106" s="136"/>
      <c r="I106" s="113"/>
      <c r="J106" s="113"/>
      <c r="K106" s="113"/>
      <c r="L106" s="113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</row>
    <row r="107" ht="12.75" customHeight="1">
      <c r="A107" s="114"/>
      <c r="B107" s="114"/>
      <c r="C107" s="114"/>
      <c r="D107" s="114"/>
      <c r="E107" s="114"/>
      <c r="F107" s="131"/>
      <c r="G107" s="132"/>
      <c r="H107" s="133"/>
      <c r="I107" s="112"/>
      <c r="J107" s="112"/>
      <c r="K107" s="112"/>
      <c r="L107" s="112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</row>
    <row r="108" ht="12.75" customHeight="1">
      <c r="A108" s="114"/>
      <c r="B108" s="114"/>
      <c r="C108" s="114"/>
      <c r="D108" s="114"/>
      <c r="E108" s="114"/>
      <c r="F108" s="131"/>
      <c r="G108" s="132"/>
      <c r="H108" s="133"/>
      <c r="I108" s="112"/>
      <c r="J108" s="112"/>
      <c r="K108" s="112"/>
      <c r="L108" s="112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</row>
    <row r="109" ht="12.75" customHeight="1">
      <c r="A109" s="114"/>
      <c r="B109" s="114"/>
      <c r="C109" s="114"/>
      <c r="D109" s="114"/>
      <c r="E109" s="114"/>
      <c r="F109" s="131"/>
      <c r="G109" s="132"/>
      <c r="H109" s="133"/>
      <c r="I109" s="112"/>
      <c r="J109" s="112"/>
      <c r="K109" s="112"/>
      <c r="L109" s="112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</row>
    <row r="110" ht="12.75" customHeight="1">
      <c r="A110" s="114"/>
      <c r="B110" s="114"/>
      <c r="C110" s="114"/>
      <c r="D110" s="114"/>
      <c r="E110" s="114"/>
      <c r="F110" s="131"/>
      <c r="G110" s="132"/>
      <c r="H110" s="133"/>
      <c r="I110" s="112"/>
      <c r="J110" s="112"/>
      <c r="K110" s="112"/>
      <c r="L110" s="112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</row>
    <row r="111" ht="12.75" customHeight="1">
      <c r="A111" s="114"/>
      <c r="B111" s="114"/>
      <c r="C111" s="114"/>
      <c r="D111" s="114"/>
      <c r="E111" s="114"/>
      <c r="F111" s="131"/>
      <c r="G111" s="132"/>
      <c r="H111" s="133"/>
      <c r="I111" s="112"/>
      <c r="J111" s="112"/>
      <c r="K111" s="112"/>
      <c r="L111" s="112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</row>
    <row r="112" ht="12.75" customHeight="1">
      <c r="A112" s="114"/>
      <c r="B112" s="114"/>
      <c r="C112" s="114"/>
      <c r="D112" s="114"/>
      <c r="E112" s="114"/>
      <c r="F112" s="131"/>
      <c r="G112" s="132"/>
      <c r="H112" s="133"/>
      <c r="I112" s="112"/>
      <c r="J112" s="112"/>
      <c r="K112" s="112"/>
      <c r="L112" s="112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</row>
    <row r="113" ht="12.75" customHeight="1">
      <c r="A113" s="107"/>
      <c r="B113" s="107"/>
      <c r="C113" s="107"/>
      <c r="D113" s="107"/>
      <c r="E113" s="107"/>
      <c r="F113" s="134"/>
      <c r="G113" s="135"/>
      <c r="H113" s="136"/>
      <c r="I113" s="113"/>
      <c r="J113" s="113"/>
      <c r="K113" s="113"/>
      <c r="L113" s="113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</row>
    <row r="114" ht="12.75" customHeight="1">
      <c r="A114" s="114"/>
      <c r="B114" s="114"/>
      <c r="C114" s="114"/>
      <c r="D114" s="114"/>
      <c r="E114" s="114"/>
      <c r="F114" s="131"/>
      <c r="G114" s="132"/>
      <c r="H114" s="133"/>
      <c r="I114" s="112"/>
      <c r="J114" s="112"/>
      <c r="K114" s="112"/>
      <c r="L114" s="112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</row>
    <row r="115" ht="12.75" customHeight="1">
      <c r="A115" s="114"/>
      <c r="B115" s="114"/>
      <c r="C115" s="114"/>
      <c r="D115" s="114"/>
      <c r="E115" s="114"/>
      <c r="F115" s="131"/>
      <c r="G115" s="132"/>
      <c r="H115" s="133"/>
      <c r="I115" s="112"/>
      <c r="J115" s="112"/>
      <c r="K115" s="112"/>
      <c r="L115" s="112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</row>
    <row r="116" ht="12.75" customHeight="1">
      <c r="A116" s="114"/>
      <c r="B116" s="114"/>
      <c r="C116" s="114"/>
      <c r="D116" s="114"/>
      <c r="E116" s="114"/>
      <c r="F116" s="131"/>
      <c r="G116" s="132"/>
      <c r="H116" s="133"/>
      <c r="I116" s="112"/>
      <c r="J116" s="112"/>
      <c r="K116" s="112"/>
      <c r="L116" s="112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</row>
    <row r="117" ht="12.75" customHeight="1">
      <c r="A117" s="114"/>
      <c r="B117" s="114"/>
      <c r="C117" s="114"/>
      <c r="D117" s="114"/>
      <c r="E117" s="114"/>
      <c r="F117" s="131"/>
      <c r="G117" s="132"/>
      <c r="H117" s="133"/>
      <c r="I117" s="112"/>
      <c r="J117" s="112"/>
      <c r="K117" s="112"/>
      <c r="L117" s="112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</row>
    <row r="118" ht="12.75" customHeight="1">
      <c r="A118" s="114"/>
      <c r="B118" s="114"/>
      <c r="C118" s="114"/>
      <c r="D118" s="114"/>
      <c r="E118" s="114"/>
      <c r="F118" s="131"/>
      <c r="G118" s="132"/>
      <c r="H118" s="133"/>
      <c r="I118" s="112"/>
      <c r="J118" s="112"/>
      <c r="K118" s="112"/>
      <c r="L118" s="112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</row>
    <row r="119" ht="12.75" customHeight="1">
      <c r="A119" s="114"/>
      <c r="B119" s="114"/>
      <c r="C119" s="114"/>
      <c r="D119" s="114"/>
      <c r="E119" s="114"/>
      <c r="F119" s="131"/>
      <c r="G119" s="132"/>
      <c r="H119" s="133"/>
      <c r="I119" s="112"/>
      <c r="J119" s="112"/>
      <c r="K119" s="112"/>
      <c r="L119" s="112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</row>
    <row r="120" ht="12.75" customHeight="1">
      <c r="A120" s="114"/>
      <c r="B120" s="114"/>
      <c r="C120" s="114"/>
      <c r="D120" s="114"/>
      <c r="E120" s="114"/>
      <c r="F120" s="131"/>
      <c r="G120" s="132"/>
      <c r="H120" s="133"/>
      <c r="I120" s="112"/>
      <c r="J120" s="112"/>
      <c r="K120" s="112"/>
      <c r="L120" s="112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</row>
    <row r="121" ht="12.75" customHeight="1">
      <c r="A121" s="114"/>
      <c r="B121" s="114"/>
      <c r="C121" s="114"/>
      <c r="D121" s="114"/>
      <c r="E121" s="114"/>
      <c r="F121" s="131"/>
      <c r="G121" s="132"/>
      <c r="H121" s="133"/>
      <c r="I121" s="112"/>
      <c r="J121" s="112"/>
      <c r="K121" s="112"/>
      <c r="L121" s="112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</row>
    <row r="122" ht="12.75" customHeight="1">
      <c r="A122" s="107"/>
      <c r="B122" s="107"/>
      <c r="C122" s="107"/>
      <c r="D122" s="107"/>
      <c r="E122" s="107"/>
      <c r="F122" s="134"/>
      <c r="G122" s="135"/>
      <c r="H122" s="136"/>
      <c r="I122" s="113"/>
      <c r="J122" s="113"/>
      <c r="K122" s="113"/>
      <c r="L122" s="113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</row>
    <row r="123" ht="12.75" customHeight="1">
      <c r="A123" s="107"/>
      <c r="B123" s="107"/>
      <c r="C123" s="107"/>
      <c r="D123" s="107"/>
      <c r="E123" s="107"/>
      <c r="F123" s="134"/>
      <c r="G123" s="135"/>
      <c r="H123" s="136"/>
      <c r="I123" s="113"/>
      <c r="J123" s="113"/>
      <c r="K123" s="113"/>
      <c r="L123" s="113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</row>
    <row r="124" ht="12.75" customHeight="1">
      <c r="A124" s="114"/>
      <c r="B124" s="114"/>
      <c r="C124" s="114"/>
      <c r="D124" s="114"/>
      <c r="E124" s="114"/>
      <c r="F124" s="131"/>
      <c r="G124" s="132"/>
      <c r="H124" s="133"/>
      <c r="I124" s="112"/>
      <c r="J124" s="112"/>
      <c r="K124" s="112"/>
      <c r="L124" s="112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</row>
    <row r="125" ht="12.75" customHeight="1">
      <c r="A125" s="114"/>
      <c r="B125" s="114"/>
      <c r="C125" s="114"/>
      <c r="D125" s="114"/>
      <c r="E125" s="114"/>
      <c r="F125" s="131"/>
      <c r="G125" s="132"/>
      <c r="H125" s="133"/>
      <c r="I125" s="112"/>
      <c r="J125" s="112"/>
      <c r="K125" s="112"/>
      <c r="L125" s="112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</row>
    <row r="126" ht="12.75" customHeight="1">
      <c r="A126" s="114"/>
      <c r="B126" s="114"/>
      <c r="C126" s="114"/>
      <c r="D126" s="114"/>
      <c r="E126" s="114"/>
      <c r="F126" s="131"/>
      <c r="G126" s="132"/>
      <c r="H126" s="133"/>
      <c r="I126" s="112"/>
      <c r="J126" s="112"/>
      <c r="K126" s="112"/>
      <c r="L126" s="112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</row>
    <row r="127" ht="12.75" customHeight="1">
      <c r="A127" s="114"/>
      <c r="B127" s="114"/>
      <c r="C127" s="114"/>
      <c r="D127" s="114"/>
      <c r="E127" s="114"/>
      <c r="F127" s="131"/>
      <c r="G127" s="132"/>
      <c r="H127" s="133"/>
      <c r="I127" s="112"/>
      <c r="J127" s="112"/>
      <c r="K127" s="112"/>
      <c r="L127" s="112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</row>
    <row r="128" ht="12.75" customHeight="1">
      <c r="A128" s="114"/>
      <c r="B128" s="114"/>
      <c r="C128" s="114"/>
      <c r="D128" s="114"/>
      <c r="E128" s="114"/>
      <c r="F128" s="131"/>
      <c r="G128" s="132"/>
      <c r="H128" s="133"/>
      <c r="I128" s="112"/>
      <c r="J128" s="112"/>
      <c r="K128" s="112"/>
      <c r="L128" s="112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</row>
    <row r="129" ht="12.75" customHeight="1">
      <c r="A129" s="114"/>
      <c r="B129" s="114"/>
      <c r="C129" s="114"/>
      <c r="D129" s="114"/>
      <c r="E129" s="114"/>
      <c r="F129" s="131"/>
      <c r="G129" s="132"/>
      <c r="H129" s="133"/>
      <c r="I129" s="112"/>
      <c r="J129" s="112"/>
      <c r="K129" s="112"/>
      <c r="L129" s="112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</row>
    <row r="130" ht="12.75" customHeight="1">
      <c r="A130" s="114"/>
      <c r="B130" s="114"/>
      <c r="C130" s="114"/>
      <c r="D130" s="114"/>
      <c r="E130" s="114"/>
      <c r="F130" s="131"/>
      <c r="G130" s="132"/>
      <c r="H130" s="133"/>
      <c r="I130" s="112"/>
      <c r="J130" s="112"/>
      <c r="K130" s="112"/>
      <c r="L130" s="112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</row>
    <row r="131" ht="12.75" customHeight="1">
      <c r="A131" s="114"/>
      <c r="B131" s="114"/>
      <c r="C131" s="114"/>
      <c r="D131" s="114"/>
      <c r="E131" s="114"/>
      <c r="F131" s="131"/>
      <c r="G131" s="132"/>
      <c r="H131" s="133"/>
      <c r="I131" s="112"/>
      <c r="J131" s="112"/>
      <c r="K131" s="112"/>
      <c r="L131" s="112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</row>
    <row r="132" ht="12.75" customHeight="1">
      <c r="A132" s="114"/>
      <c r="B132" s="114"/>
      <c r="C132" s="114"/>
      <c r="D132" s="114"/>
      <c r="E132" s="114"/>
      <c r="F132" s="131"/>
      <c r="G132" s="132"/>
      <c r="H132" s="133"/>
      <c r="I132" s="112"/>
      <c r="J132" s="112"/>
      <c r="K132" s="112"/>
      <c r="L132" s="112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</row>
    <row r="133" ht="12.75" customHeight="1">
      <c r="A133" s="114"/>
      <c r="B133" s="114"/>
      <c r="C133" s="114"/>
      <c r="D133" s="114"/>
      <c r="E133" s="114"/>
      <c r="F133" s="131"/>
      <c r="G133" s="132"/>
      <c r="H133" s="133"/>
      <c r="I133" s="112"/>
      <c r="J133" s="112"/>
      <c r="K133" s="112"/>
      <c r="L133" s="112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</row>
    <row r="134" ht="12.75" customHeight="1">
      <c r="A134" s="107"/>
      <c r="B134" s="107"/>
      <c r="C134" s="107"/>
      <c r="D134" s="107"/>
      <c r="E134" s="107"/>
      <c r="F134" s="134"/>
      <c r="G134" s="135"/>
      <c r="H134" s="136"/>
      <c r="I134" s="113"/>
      <c r="J134" s="113"/>
      <c r="K134" s="113"/>
      <c r="L134" s="113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</row>
    <row r="135" ht="12.75" customHeight="1">
      <c r="A135" s="114"/>
      <c r="B135" s="114"/>
      <c r="C135" s="114"/>
      <c r="D135" s="114"/>
      <c r="E135" s="114"/>
      <c r="F135" s="131"/>
      <c r="G135" s="132"/>
      <c r="H135" s="133"/>
      <c r="I135" s="112"/>
      <c r="J135" s="112"/>
      <c r="K135" s="112"/>
      <c r="L135" s="112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</row>
    <row r="136" ht="12.75" customHeight="1">
      <c r="A136" s="114"/>
      <c r="B136" s="114"/>
      <c r="C136" s="114"/>
      <c r="D136" s="114"/>
      <c r="E136" s="114"/>
      <c r="F136" s="131"/>
      <c r="G136" s="132"/>
      <c r="H136" s="133"/>
      <c r="I136" s="112"/>
      <c r="J136" s="112"/>
      <c r="K136" s="112"/>
      <c r="L136" s="112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</row>
    <row r="137" ht="12.75" customHeight="1">
      <c r="A137" s="114"/>
      <c r="B137" s="114"/>
      <c r="C137" s="114"/>
      <c r="D137" s="114"/>
      <c r="E137" s="114"/>
      <c r="F137" s="131"/>
      <c r="G137" s="132"/>
      <c r="H137" s="133"/>
      <c r="I137" s="112"/>
      <c r="J137" s="112"/>
      <c r="K137" s="112"/>
      <c r="L137" s="112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</row>
    <row r="138" ht="12.75" customHeight="1">
      <c r="A138" s="114"/>
      <c r="B138" s="114"/>
      <c r="C138" s="114"/>
      <c r="D138" s="114"/>
      <c r="E138" s="114"/>
      <c r="F138" s="131"/>
      <c r="G138" s="132"/>
      <c r="H138" s="133"/>
      <c r="I138" s="112"/>
      <c r="J138" s="112"/>
      <c r="K138" s="112"/>
      <c r="L138" s="112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</row>
    <row r="139" ht="12.75" customHeight="1">
      <c r="A139" s="114"/>
      <c r="B139" s="114"/>
      <c r="C139" s="114"/>
      <c r="D139" s="114"/>
      <c r="E139" s="114"/>
      <c r="F139" s="131"/>
      <c r="G139" s="132"/>
      <c r="H139" s="133"/>
      <c r="I139" s="112"/>
      <c r="J139" s="112"/>
      <c r="K139" s="112"/>
      <c r="L139" s="112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</row>
    <row r="140" ht="12.75" customHeight="1">
      <c r="A140" s="114"/>
      <c r="B140" s="114"/>
      <c r="C140" s="114"/>
      <c r="D140" s="114"/>
      <c r="E140" s="114"/>
      <c r="F140" s="131"/>
      <c r="G140" s="132"/>
      <c r="H140" s="133"/>
      <c r="I140" s="112"/>
      <c r="J140" s="112"/>
      <c r="K140" s="112"/>
      <c r="L140" s="112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</row>
    <row r="141" ht="12.75" customHeight="1">
      <c r="A141" s="114"/>
      <c r="B141" s="114"/>
      <c r="C141" s="114"/>
      <c r="D141" s="114"/>
      <c r="E141" s="114"/>
      <c r="F141" s="131"/>
      <c r="G141" s="132"/>
      <c r="H141" s="133"/>
      <c r="I141" s="112"/>
      <c r="J141" s="112"/>
      <c r="K141" s="112"/>
      <c r="L141" s="112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</row>
    <row r="142" ht="12.75" customHeight="1">
      <c r="A142" s="114"/>
      <c r="B142" s="114"/>
      <c r="C142" s="114"/>
      <c r="D142" s="114"/>
      <c r="E142" s="114"/>
      <c r="F142" s="131"/>
      <c r="G142" s="132"/>
      <c r="H142" s="133"/>
      <c r="I142" s="112"/>
      <c r="J142" s="112"/>
      <c r="K142" s="112"/>
      <c r="L142" s="112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</row>
    <row r="143" ht="12.75" customHeight="1">
      <c r="A143" s="107"/>
      <c r="B143" s="107"/>
      <c r="C143" s="107"/>
      <c r="D143" s="107"/>
      <c r="E143" s="107"/>
      <c r="F143" s="134"/>
      <c r="G143" s="135"/>
      <c r="H143" s="136"/>
      <c r="I143" s="113"/>
      <c r="J143" s="113"/>
      <c r="K143" s="113"/>
      <c r="L143" s="113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</row>
    <row r="144" ht="12.75" customHeight="1">
      <c r="A144" s="114"/>
      <c r="B144" s="114"/>
      <c r="C144" s="114"/>
      <c r="D144" s="114"/>
      <c r="E144" s="114"/>
      <c r="F144" s="131"/>
      <c r="G144" s="132"/>
      <c r="H144" s="133"/>
      <c r="I144" s="112"/>
      <c r="J144" s="112"/>
      <c r="K144" s="112"/>
      <c r="L144" s="112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</row>
    <row r="145" ht="12.75" customHeight="1">
      <c r="A145" s="114"/>
      <c r="B145" s="114"/>
      <c r="C145" s="114"/>
      <c r="D145" s="114"/>
      <c r="E145" s="114"/>
      <c r="F145" s="131"/>
      <c r="G145" s="132"/>
      <c r="H145" s="133"/>
      <c r="I145" s="112"/>
      <c r="J145" s="112"/>
      <c r="K145" s="112"/>
      <c r="L145" s="112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</row>
    <row r="146" ht="12.75" customHeight="1">
      <c r="A146" s="114"/>
      <c r="B146" s="114"/>
      <c r="C146" s="114"/>
      <c r="D146" s="114"/>
      <c r="E146" s="114"/>
      <c r="F146" s="131"/>
      <c r="G146" s="132"/>
      <c r="H146" s="133"/>
      <c r="I146" s="112"/>
      <c r="J146" s="112"/>
      <c r="K146" s="112"/>
      <c r="L146" s="112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</row>
    <row r="147" ht="12.75" customHeight="1">
      <c r="A147" s="114"/>
      <c r="B147" s="114"/>
      <c r="C147" s="114"/>
      <c r="D147" s="114"/>
      <c r="E147" s="114"/>
      <c r="F147" s="131"/>
      <c r="G147" s="132"/>
      <c r="H147" s="133"/>
      <c r="I147" s="112"/>
      <c r="J147" s="112"/>
      <c r="K147" s="112"/>
      <c r="L147" s="112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</row>
    <row r="148" ht="12.75" customHeight="1">
      <c r="A148" s="114"/>
      <c r="B148" s="114"/>
      <c r="C148" s="114"/>
      <c r="D148" s="114"/>
      <c r="E148" s="114"/>
      <c r="F148" s="131"/>
      <c r="G148" s="132"/>
      <c r="H148" s="133"/>
      <c r="I148" s="112"/>
      <c r="J148" s="112"/>
      <c r="K148" s="112"/>
      <c r="L148" s="112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</row>
    <row r="149" ht="12.75" customHeight="1">
      <c r="A149" s="114"/>
      <c r="B149" s="114"/>
      <c r="C149" s="114"/>
      <c r="D149" s="114"/>
      <c r="E149" s="114"/>
      <c r="F149" s="131"/>
      <c r="G149" s="132"/>
      <c r="H149" s="133"/>
      <c r="I149" s="112"/>
      <c r="J149" s="112"/>
      <c r="K149" s="112"/>
      <c r="L149" s="112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</row>
    <row r="150" ht="12.75" customHeight="1">
      <c r="A150" s="107"/>
      <c r="B150" s="107"/>
      <c r="C150" s="107"/>
      <c r="D150" s="107"/>
      <c r="E150" s="107"/>
      <c r="F150" s="134"/>
      <c r="G150" s="135"/>
      <c r="H150" s="136"/>
      <c r="I150" s="113"/>
      <c r="J150" s="113"/>
      <c r="K150" s="113"/>
      <c r="L150" s="113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</row>
    <row r="151" ht="12.75" customHeight="1">
      <c r="A151" s="114"/>
      <c r="B151" s="114"/>
      <c r="C151" s="114"/>
      <c r="D151" s="114"/>
      <c r="E151" s="114"/>
      <c r="F151" s="131"/>
      <c r="G151" s="132"/>
      <c r="H151" s="133"/>
      <c r="I151" s="112"/>
      <c r="J151" s="112"/>
      <c r="K151" s="112"/>
      <c r="L151" s="112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</row>
    <row r="152" ht="12.75" customHeight="1">
      <c r="A152" s="114"/>
      <c r="B152" s="114"/>
      <c r="C152" s="114"/>
      <c r="D152" s="114"/>
      <c r="E152" s="114"/>
      <c r="F152" s="131"/>
      <c r="G152" s="132"/>
      <c r="H152" s="133"/>
      <c r="I152" s="112"/>
      <c r="J152" s="112"/>
      <c r="K152" s="112"/>
      <c r="L152" s="112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</row>
    <row r="153" ht="12.75" customHeight="1">
      <c r="A153" s="114"/>
      <c r="B153" s="114"/>
      <c r="C153" s="114"/>
      <c r="D153" s="114"/>
      <c r="E153" s="114"/>
      <c r="F153" s="131"/>
      <c r="G153" s="132"/>
      <c r="H153" s="133"/>
      <c r="I153" s="112"/>
      <c r="J153" s="112"/>
      <c r="K153" s="112"/>
      <c r="L153" s="112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</row>
    <row r="154" ht="12.75" customHeight="1">
      <c r="A154" s="114"/>
      <c r="B154" s="114"/>
      <c r="C154" s="114"/>
      <c r="D154" s="114"/>
      <c r="E154" s="114"/>
      <c r="F154" s="131"/>
      <c r="G154" s="132"/>
      <c r="H154" s="133"/>
      <c r="I154" s="112"/>
      <c r="J154" s="112"/>
      <c r="K154" s="112"/>
      <c r="L154" s="112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</row>
    <row r="155" ht="12.75" customHeight="1">
      <c r="A155" s="114"/>
      <c r="B155" s="114"/>
      <c r="C155" s="114"/>
      <c r="D155" s="114"/>
      <c r="E155" s="114"/>
      <c r="F155" s="131"/>
      <c r="G155" s="132"/>
      <c r="H155" s="133"/>
      <c r="I155" s="112"/>
      <c r="J155" s="112"/>
      <c r="K155" s="112"/>
      <c r="L155" s="112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</row>
    <row r="156" ht="12.75" customHeight="1">
      <c r="A156" s="114"/>
      <c r="B156" s="114"/>
      <c r="C156" s="114"/>
      <c r="D156" s="114"/>
      <c r="E156" s="114"/>
      <c r="F156" s="131"/>
      <c r="G156" s="132"/>
      <c r="H156" s="133"/>
      <c r="I156" s="112"/>
      <c r="J156" s="112"/>
      <c r="K156" s="112"/>
      <c r="L156" s="112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</row>
    <row r="157" ht="12.75" customHeight="1">
      <c r="A157" s="114"/>
      <c r="B157" s="114"/>
      <c r="C157" s="114"/>
      <c r="D157" s="114"/>
      <c r="E157" s="114"/>
      <c r="F157" s="131"/>
      <c r="G157" s="132"/>
      <c r="H157" s="133"/>
      <c r="I157" s="112"/>
      <c r="J157" s="112"/>
      <c r="K157" s="112"/>
      <c r="L157" s="112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</row>
    <row r="158" ht="12.75" customHeight="1">
      <c r="A158" s="114"/>
      <c r="B158" s="114"/>
      <c r="C158" s="114"/>
      <c r="D158" s="114"/>
      <c r="E158" s="114"/>
      <c r="F158" s="131"/>
      <c r="G158" s="132"/>
      <c r="H158" s="133"/>
      <c r="I158" s="112"/>
      <c r="J158" s="112"/>
      <c r="K158" s="112"/>
      <c r="L158" s="112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</row>
    <row r="159" ht="12.75" customHeight="1">
      <c r="A159" s="107"/>
      <c r="B159" s="107"/>
      <c r="C159" s="107"/>
      <c r="D159" s="107"/>
      <c r="E159" s="107"/>
      <c r="F159" s="134"/>
      <c r="G159" s="135"/>
      <c r="H159" s="136"/>
      <c r="I159" s="113"/>
      <c r="J159" s="113"/>
      <c r="K159" s="113"/>
      <c r="L159" s="113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</row>
    <row r="160" ht="12.75" customHeight="1">
      <c r="A160" s="107"/>
      <c r="B160" s="107"/>
      <c r="C160" s="107"/>
      <c r="D160" s="107"/>
      <c r="E160" s="107"/>
      <c r="F160" s="134"/>
      <c r="G160" s="135"/>
      <c r="H160" s="136"/>
      <c r="I160" s="113"/>
      <c r="J160" s="113"/>
      <c r="K160" s="113"/>
      <c r="L160" s="113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</row>
    <row r="161" ht="12.75" customHeight="1">
      <c r="A161" s="107"/>
      <c r="B161" s="107"/>
      <c r="C161" s="107"/>
      <c r="D161" s="107"/>
      <c r="E161" s="107"/>
      <c r="F161" s="134"/>
      <c r="G161" s="135"/>
      <c r="H161" s="136"/>
      <c r="I161" s="113"/>
      <c r="J161" s="113"/>
      <c r="K161" s="113"/>
      <c r="L161" s="113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</row>
    <row r="162" ht="12.75" customHeight="1">
      <c r="A162" s="137"/>
      <c r="B162" s="114"/>
      <c r="C162" s="114"/>
      <c r="D162" s="114"/>
      <c r="E162" s="138"/>
      <c r="F162" s="131"/>
      <c r="G162" s="132"/>
      <c r="H162" s="133"/>
      <c r="I162" s="112"/>
      <c r="J162" s="112"/>
      <c r="K162" s="112"/>
      <c r="L162" s="112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</row>
    <row r="163" ht="12.75" customHeight="1">
      <c r="A163" s="137"/>
      <c r="B163" s="114"/>
      <c r="C163" s="114"/>
      <c r="D163" s="114"/>
      <c r="E163" s="138"/>
      <c r="F163" s="131"/>
      <c r="G163" s="132"/>
      <c r="H163" s="133"/>
      <c r="I163" s="112"/>
      <c r="J163" s="112"/>
      <c r="K163" s="112"/>
      <c r="L163" s="112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</row>
    <row r="164" ht="12.75" customHeight="1">
      <c r="A164" s="137"/>
      <c r="B164" s="114"/>
      <c r="C164" s="114"/>
      <c r="D164" s="114"/>
      <c r="E164" s="138"/>
      <c r="F164" s="131"/>
      <c r="G164" s="132"/>
      <c r="H164" s="133"/>
      <c r="I164" s="112"/>
      <c r="J164" s="112"/>
      <c r="K164" s="112"/>
      <c r="L164" s="112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</row>
    <row r="165" ht="12.75" customHeight="1">
      <c r="A165" s="137"/>
      <c r="B165" s="114"/>
      <c r="C165" s="114"/>
      <c r="D165" s="114"/>
      <c r="E165" s="138"/>
      <c r="F165" s="131"/>
      <c r="G165" s="132"/>
      <c r="H165" s="133"/>
      <c r="I165" s="112"/>
      <c r="J165" s="112"/>
      <c r="K165" s="112"/>
      <c r="L165" s="112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</row>
    <row r="166" ht="12.75" customHeight="1">
      <c r="A166" s="137"/>
      <c r="B166" s="114"/>
      <c r="C166" s="114"/>
      <c r="D166" s="114"/>
      <c r="E166" s="138"/>
      <c r="F166" s="131"/>
      <c r="G166" s="132"/>
      <c r="H166" s="133"/>
      <c r="I166" s="112"/>
      <c r="J166" s="112"/>
      <c r="K166" s="112"/>
      <c r="L166" s="112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</row>
    <row r="167" ht="12.75" customHeight="1">
      <c r="A167" s="137"/>
      <c r="B167" s="114"/>
      <c r="C167" s="114"/>
      <c r="D167" s="114"/>
      <c r="E167" s="138"/>
      <c r="F167" s="131"/>
      <c r="G167" s="132"/>
      <c r="H167" s="133"/>
      <c r="I167" s="112"/>
      <c r="J167" s="112"/>
      <c r="K167" s="112"/>
      <c r="L167" s="112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</row>
    <row r="168" ht="12.75" customHeight="1">
      <c r="A168" s="137"/>
      <c r="B168" s="114"/>
      <c r="C168" s="114"/>
      <c r="D168" s="114"/>
      <c r="E168" s="138"/>
      <c r="F168" s="131"/>
      <c r="G168" s="132"/>
      <c r="H168" s="133"/>
      <c r="I168" s="112"/>
      <c r="J168" s="112"/>
      <c r="K168" s="112"/>
      <c r="L168" s="112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</row>
    <row r="169" ht="12.75" customHeight="1">
      <c r="A169" s="137"/>
      <c r="B169" s="114"/>
      <c r="C169" s="114"/>
      <c r="D169" s="114"/>
      <c r="E169" s="138"/>
      <c r="F169" s="131"/>
      <c r="G169" s="132"/>
      <c r="H169" s="133"/>
      <c r="I169" s="112"/>
      <c r="J169" s="112"/>
      <c r="K169" s="112"/>
      <c r="L169" s="112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</row>
    <row r="170" ht="12.75" customHeight="1">
      <c r="A170" s="137"/>
      <c r="B170" s="114"/>
      <c r="C170" s="114"/>
      <c r="D170" s="114"/>
      <c r="E170" s="138"/>
      <c r="F170" s="131"/>
      <c r="G170" s="132"/>
      <c r="H170" s="133"/>
      <c r="I170" s="112"/>
      <c r="J170" s="112"/>
      <c r="K170" s="112"/>
      <c r="L170" s="112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</row>
    <row r="171" ht="12.75" customHeight="1">
      <c r="A171" s="137"/>
      <c r="B171" s="114"/>
      <c r="C171" s="114"/>
      <c r="D171" s="114"/>
      <c r="E171" s="138"/>
      <c r="F171" s="131"/>
      <c r="G171" s="132"/>
      <c r="H171" s="133"/>
      <c r="I171" s="112"/>
      <c r="J171" s="112"/>
      <c r="K171" s="112"/>
      <c r="L171" s="112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</row>
    <row r="172" ht="12.75" customHeight="1">
      <c r="A172" s="137"/>
      <c r="B172" s="114"/>
      <c r="C172" s="114"/>
      <c r="D172" s="114"/>
      <c r="E172" s="138"/>
      <c r="F172" s="131"/>
      <c r="G172" s="132"/>
      <c r="H172" s="133"/>
      <c r="I172" s="112"/>
      <c r="J172" s="112"/>
      <c r="K172" s="112"/>
      <c r="L172" s="112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</row>
    <row r="173" ht="12.75" customHeight="1">
      <c r="A173" s="137"/>
      <c r="B173" s="114"/>
      <c r="C173" s="114"/>
      <c r="D173" s="114"/>
      <c r="E173" s="138"/>
      <c r="F173" s="131"/>
      <c r="G173" s="132"/>
      <c r="H173" s="133"/>
      <c r="I173" s="112"/>
      <c r="J173" s="112"/>
      <c r="K173" s="112"/>
      <c r="L173" s="112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</row>
    <row r="174" ht="12.75" customHeight="1">
      <c r="A174" s="137"/>
      <c r="B174" s="114"/>
      <c r="C174" s="114"/>
      <c r="D174" s="114"/>
      <c r="E174" s="138"/>
      <c r="F174" s="131"/>
      <c r="G174" s="132"/>
      <c r="H174" s="133"/>
      <c r="I174" s="112"/>
      <c r="J174" s="112"/>
      <c r="K174" s="112"/>
      <c r="L174" s="112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</row>
    <row r="175" ht="12.75" customHeight="1">
      <c r="A175" s="137"/>
      <c r="B175" s="114"/>
      <c r="C175" s="114"/>
      <c r="D175" s="114"/>
      <c r="E175" s="138"/>
      <c r="F175" s="131"/>
      <c r="G175" s="132"/>
      <c r="H175" s="133"/>
      <c r="I175" s="112"/>
      <c r="J175" s="112"/>
      <c r="K175" s="112"/>
      <c r="L175" s="112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</row>
    <row r="176" ht="12.75" customHeight="1">
      <c r="A176" s="137"/>
      <c r="B176" s="114"/>
      <c r="C176" s="114"/>
      <c r="D176" s="114"/>
      <c r="E176" s="138"/>
      <c r="F176" s="131"/>
      <c r="G176" s="132"/>
      <c r="H176" s="133"/>
      <c r="I176" s="112"/>
      <c r="J176" s="112"/>
      <c r="K176" s="112"/>
      <c r="L176" s="112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</row>
    <row r="177" ht="12.75" customHeight="1">
      <c r="A177" s="137"/>
      <c r="B177" s="114"/>
      <c r="C177" s="114"/>
      <c r="D177" s="114"/>
      <c r="E177" s="138"/>
      <c r="F177" s="131"/>
      <c r="G177" s="132"/>
      <c r="H177" s="133"/>
      <c r="I177" s="112"/>
      <c r="J177" s="112"/>
      <c r="K177" s="112"/>
      <c r="L177" s="112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</row>
    <row r="178" ht="12.75" customHeight="1">
      <c r="A178" s="137"/>
      <c r="B178" s="114"/>
      <c r="C178" s="114"/>
      <c r="D178" s="114"/>
      <c r="E178" s="138"/>
      <c r="F178" s="131"/>
      <c r="G178" s="132"/>
      <c r="H178" s="133"/>
      <c r="I178" s="112"/>
      <c r="J178" s="112"/>
      <c r="K178" s="112"/>
      <c r="L178" s="112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</row>
    <row r="179" ht="12.75" customHeight="1">
      <c r="A179" s="137"/>
      <c r="B179" s="114"/>
      <c r="C179" s="114"/>
      <c r="D179" s="114"/>
      <c r="E179" s="138"/>
      <c r="F179" s="131"/>
      <c r="G179" s="132"/>
      <c r="H179" s="133"/>
      <c r="I179" s="112"/>
      <c r="J179" s="112"/>
      <c r="K179" s="112"/>
      <c r="L179" s="112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</row>
    <row r="180" ht="12.75" customHeight="1">
      <c r="A180" s="137"/>
      <c r="B180" s="114"/>
      <c r="C180" s="114"/>
      <c r="D180" s="114"/>
      <c r="E180" s="138"/>
      <c r="F180" s="131"/>
      <c r="G180" s="132"/>
      <c r="H180" s="133"/>
      <c r="I180" s="112"/>
      <c r="J180" s="112"/>
      <c r="K180" s="112"/>
      <c r="L180" s="112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</row>
    <row r="181" ht="12.75" customHeight="1">
      <c r="A181" s="137"/>
      <c r="B181" s="114"/>
      <c r="C181" s="114"/>
      <c r="D181" s="114"/>
      <c r="E181" s="138"/>
      <c r="F181" s="131"/>
      <c r="G181" s="132"/>
      <c r="H181" s="133"/>
      <c r="I181" s="112"/>
      <c r="J181" s="112"/>
      <c r="K181" s="112"/>
      <c r="L181" s="112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</row>
    <row r="182" ht="12.75" customHeight="1">
      <c r="A182" s="137"/>
      <c r="B182" s="114"/>
      <c r="C182" s="114"/>
      <c r="D182" s="114"/>
      <c r="E182" s="138"/>
      <c r="F182" s="131"/>
      <c r="G182" s="132"/>
      <c r="H182" s="133"/>
      <c r="I182" s="112"/>
      <c r="J182" s="112"/>
      <c r="K182" s="112"/>
      <c r="L182" s="112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</row>
    <row r="183" ht="12.75" customHeight="1">
      <c r="A183" s="137"/>
      <c r="B183" s="114"/>
      <c r="C183" s="114"/>
      <c r="D183" s="114"/>
      <c r="E183" s="138"/>
      <c r="F183" s="131"/>
      <c r="G183" s="132"/>
      <c r="H183" s="133"/>
      <c r="I183" s="112"/>
      <c r="J183" s="112"/>
      <c r="K183" s="112"/>
      <c r="L183" s="112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</row>
    <row r="184" ht="12.75" customHeight="1">
      <c r="A184" s="137"/>
      <c r="B184" s="114"/>
      <c r="C184" s="114"/>
      <c r="D184" s="114"/>
      <c r="E184" s="138"/>
      <c r="F184" s="131"/>
      <c r="G184" s="132"/>
      <c r="H184" s="133"/>
      <c r="I184" s="112"/>
      <c r="J184" s="112"/>
      <c r="K184" s="112"/>
      <c r="L184" s="112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</row>
    <row r="185" ht="12.75" customHeight="1">
      <c r="A185" s="137"/>
      <c r="B185" s="114"/>
      <c r="C185" s="114"/>
      <c r="D185" s="114"/>
      <c r="E185" s="138"/>
      <c r="F185" s="131"/>
      <c r="G185" s="132"/>
      <c r="H185" s="133"/>
      <c r="I185" s="112"/>
      <c r="J185" s="112"/>
      <c r="K185" s="112"/>
      <c r="L185" s="112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</row>
    <row r="186" ht="12.75" customHeight="1">
      <c r="A186" s="137"/>
      <c r="B186" s="114"/>
      <c r="C186" s="114"/>
      <c r="D186" s="114"/>
      <c r="E186" s="138"/>
      <c r="F186" s="131"/>
      <c r="G186" s="132"/>
      <c r="H186" s="133"/>
      <c r="I186" s="112"/>
      <c r="J186" s="112"/>
      <c r="K186" s="112"/>
      <c r="L186" s="112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</row>
    <row r="187" ht="12.75" customHeight="1">
      <c r="A187" s="137"/>
      <c r="B187" s="114"/>
      <c r="C187" s="114"/>
      <c r="D187" s="114"/>
      <c r="E187" s="138"/>
      <c r="F187" s="131"/>
      <c r="G187" s="132"/>
      <c r="H187" s="133"/>
      <c r="I187" s="112"/>
      <c r="J187" s="112"/>
      <c r="K187" s="112"/>
      <c r="L187" s="112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</row>
    <row r="188" ht="12.75" customHeight="1">
      <c r="A188" s="137"/>
      <c r="B188" s="114"/>
      <c r="C188" s="114"/>
      <c r="D188" s="114"/>
      <c r="E188" s="138"/>
      <c r="F188" s="131"/>
      <c r="G188" s="132"/>
      <c r="H188" s="133"/>
      <c r="I188" s="112"/>
      <c r="J188" s="112"/>
      <c r="K188" s="112"/>
      <c r="L188" s="112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</row>
    <row r="189" ht="12.75" customHeight="1">
      <c r="A189" s="137"/>
      <c r="B189" s="114"/>
      <c r="C189" s="114"/>
      <c r="D189" s="114"/>
      <c r="E189" s="138"/>
      <c r="F189" s="131"/>
      <c r="G189" s="132"/>
      <c r="H189" s="133"/>
      <c r="I189" s="112"/>
      <c r="J189" s="112"/>
      <c r="K189" s="112"/>
      <c r="L189" s="112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</row>
    <row r="190" ht="12.75" customHeight="1">
      <c r="A190" s="137"/>
      <c r="B190" s="114"/>
      <c r="C190" s="114"/>
      <c r="D190" s="114"/>
      <c r="E190" s="138"/>
      <c r="F190" s="131"/>
      <c r="G190" s="132"/>
      <c r="H190" s="133"/>
      <c r="I190" s="112"/>
      <c r="J190" s="112"/>
      <c r="K190" s="112"/>
      <c r="L190" s="112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</row>
    <row r="191" ht="12.75" customHeight="1">
      <c r="A191" s="137"/>
      <c r="B191" s="114"/>
      <c r="C191" s="114"/>
      <c r="D191" s="114"/>
      <c r="E191" s="138"/>
      <c r="F191" s="131"/>
      <c r="G191" s="132"/>
      <c r="H191" s="133"/>
      <c r="I191" s="112"/>
      <c r="J191" s="112"/>
      <c r="K191" s="112"/>
      <c r="L191" s="112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</row>
    <row r="192" ht="12.75" customHeight="1">
      <c r="A192" s="137"/>
      <c r="B192" s="114"/>
      <c r="C192" s="114"/>
      <c r="D192" s="114"/>
      <c r="E192" s="138"/>
      <c r="F192" s="131"/>
      <c r="G192" s="132"/>
      <c r="H192" s="133"/>
      <c r="I192" s="112"/>
      <c r="J192" s="112"/>
      <c r="K192" s="112"/>
      <c r="L192" s="112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</row>
    <row r="193" ht="12.75" customHeight="1">
      <c r="A193" s="137"/>
      <c r="B193" s="114"/>
      <c r="C193" s="114"/>
      <c r="D193" s="114"/>
      <c r="E193" s="138"/>
      <c r="F193" s="131"/>
      <c r="G193" s="132"/>
      <c r="H193" s="133"/>
      <c r="I193" s="112"/>
      <c r="J193" s="112"/>
      <c r="K193" s="112"/>
      <c r="L193" s="112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</row>
    <row r="194" ht="12.75" customHeight="1">
      <c r="A194" s="137"/>
      <c r="B194" s="114"/>
      <c r="C194" s="114"/>
      <c r="D194" s="114"/>
      <c r="E194" s="138"/>
      <c r="F194" s="131"/>
      <c r="G194" s="132"/>
      <c r="H194" s="133"/>
      <c r="I194" s="112"/>
      <c r="J194" s="112"/>
      <c r="K194" s="112"/>
      <c r="L194" s="112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</row>
    <row r="195" ht="12.75" customHeight="1">
      <c r="A195" s="137"/>
      <c r="B195" s="114"/>
      <c r="C195" s="114"/>
      <c r="D195" s="114"/>
      <c r="E195" s="138"/>
      <c r="F195" s="131"/>
      <c r="G195" s="132"/>
      <c r="H195" s="133"/>
      <c r="I195" s="112"/>
      <c r="J195" s="112"/>
      <c r="K195" s="112"/>
      <c r="L195" s="112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</row>
    <row r="196" ht="12.75" customHeight="1">
      <c r="A196" s="137"/>
      <c r="B196" s="114"/>
      <c r="C196" s="114"/>
      <c r="D196" s="114"/>
      <c r="E196" s="138"/>
      <c r="F196" s="131"/>
      <c r="G196" s="132"/>
      <c r="H196" s="133"/>
      <c r="I196" s="112"/>
      <c r="J196" s="112"/>
      <c r="K196" s="112"/>
      <c r="L196" s="112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</row>
    <row r="197" ht="12.75" customHeight="1">
      <c r="A197" s="137"/>
      <c r="B197" s="114"/>
      <c r="C197" s="114"/>
      <c r="D197" s="114"/>
      <c r="E197" s="138"/>
      <c r="F197" s="131"/>
      <c r="G197" s="132"/>
      <c r="H197" s="133"/>
      <c r="I197" s="112"/>
      <c r="J197" s="112"/>
      <c r="K197" s="112"/>
      <c r="L197" s="112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</row>
    <row r="198" ht="12.75" customHeight="1">
      <c r="A198" s="137"/>
      <c r="B198" s="114"/>
      <c r="C198" s="114"/>
      <c r="D198" s="114"/>
      <c r="E198" s="138"/>
      <c r="F198" s="131"/>
      <c r="G198" s="132"/>
      <c r="H198" s="133"/>
      <c r="I198" s="112"/>
      <c r="J198" s="112"/>
      <c r="K198" s="112"/>
      <c r="L198" s="112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</row>
    <row r="199" ht="12.75" customHeight="1">
      <c r="A199" s="137"/>
      <c r="B199" s="114"/>
      <c r="C199" s="114"/>
      <c r="D199" s="114"/>
      <c r="E199" s="138"/>
      <c r="F199" s="131"/>
      <c r="G199" s="132"/>
      <c r="H199" s="133"/>
      <c r="I199" s="112"/>
      <c r="J199" s="112"/>
      <c r="K199" s="112"/>
      <c r="L199" s="112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</row>
    <row r="200" ht="12.75" customHeight="1">
      <c r="A200" s="137"/>
      <c r="B200" s="114"/>
      <c r="C200" s="114"/>
      <c r="D200" s="114"/>
      <c r="E200" s="138"/>
      <c r="F200" s="131"/>
      <c r="G200" s="132"/>
      <c r="H200" s="133"/>
      <c r="I200" s="112"/>
      <c r="J200" s="112"/>
      <c r="K200" s="112"/>
      <c r="L200" s="112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</row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4.0"/>
    <col customWidth="1" min="3" max="5" width="8.63"/>
    <col customWidth="1" min="6" max="6" width="22.38"/>
    <col customWidth="1" min="7" max="7" width="13.38"/>
    <col customWidth="1" min="8" max="8" width="10.88"/>
    <col customWidth="1" min="9" max="9" width="15.13"/>
    <col customWidth="1" min="10" max="10" width="9.25"/>
    <col customWidth="1" min="11" max="12" width="8.75"/>
    <col customWidth="1" min="13" max="26" width="8.63"/>
  </cols>
  <sheetData>
    <row r="1" ht="12.75" customHeight="1">
      <c r="A1" s="74"/>
      <c r="B1" s="75" t="s">
        <v>20</v>
      </c>
      <c r="C1" s="76" t="str">
        <f>'1. Setup &amp; Recap'!O10</f>
        <v/>
      </c>
      <c r="D1" s="77"/>
      <c r="E1" s="77"/>
      <c r="F1" s="78" t="s">
        <v>18</v>
      </c>
      <c r="G1" s="79" t="str">
        <f>'1. Setup &amp; Recap'!O9</f>
        <v/>
      </c>
      <c r="H1" s="77"/>
      <c r="I1" s="77"/>
      <c r="J1" s="77"/>
      <c r="K1" s="77"/>
      <c r="L1" s="77"/>
      <c r="M1" s="77"/>
      <c r="N1" s="4"/>
      <c r="O1" s="77"/>
      <c r="P1" s="77"/>
      <c r="Q1" s="77"/>
      <c r="R1" s="77"/>
      <c r="S1" s="77"/>
      <c r="T1" s="77"/>
      <c r="U1" s="77"/>
      <c r="V1" s="77"/>
      <c r="W1" s="77"/>
    </row>
    <row r="2" ht="12.75" customHeight="1">
      <c r="A2" s="77"/>
      <c r="B2" s="75" t="s">
        <v>22</v>
      </c>
      <c r="C2" s="76" t="str">
        <f>'1. Setup &amp; Recap'!O11</f>
        <v/>
      </c>
      <c r="D2" s="77"/>
      <c r="E2" s="77"/>
      <c r="F2" s="78" t="s">
        <v>32</v>
      </c>
      <c r="G2" s="80" t="str">
        <f>'1. Setup &amp; Recap'!O16</f>
        <v>Hayden Lutz, Rob McKenna, John Dickinson</v>
      </c>
      <c r="H2" s="77"/>
      <c r="I2" s="81" t="s">
        <v>89</v>
      </c>
      <c r="J2" s="82">
        <f>$G$5*(1+$G$6+$G$7)</f>
        <v>28.06</v>
      </c>
      <c r="K2" s="77"/>
      <c r="L2" s="77"/>
      <c r="M2" s="77"/>
      <c r="O2" s="77"/>
      <c r="P2" s="77"/>
      <c r="Q2" s="77"/>
      <c r="R2" s="77"/>
      <c r="S2" s="77"/>
      <c r="T2" s="77"/>
      <c r="U2" s="77"/>
      <c r="V2" s="77"/>
      <c r="W2" s="77"/>
    </row>
    <row r="3" ht="12.75" customHeight="1">
      <c r="A3" s="77"/>
      <c r="B3" s="75" t="s">
        <v>24</v>
      </c>
      <c r="C3" s="76" t="str">
        <f>'1. Setup &amp; Recap'!O12</f>
        <v/>
      </c>
      <c r="D3" s="77"/>
      <c r="E3" s="77"/>
      <c r="F3" s="78" t="s">
        <v>90</v>
      </c>
      <c r="G3" s="83">
        <f>'1. Setup &amp; Recap'!G3</f>
        <v>6</v>
      </c>
      <c r="H3" s="77"/>
      <c r="I3" s="77"/>
      <c r="J3" s="77"/>
      <c r="K3" s="77"/>
      <c r="L3" s="77"/>
      <c r="M3" s="77"/>
      <c r="N3" s="5"/>
      <c r="O3" s="77"/>
      <c r="P3" s="77"/>
      <c r="Q3" s="77"/>
      <c r="R3" s="77"/>
      <c r="S3" s="77"/>
      <c r="T3" s="77"/>
      <c r="U3" s="77"/>
      <c r="V3" s="77"/>
      <c r="W3" s="77"/>
    </row>
    <row r="4" ht="12.75" customHeight="1">
      <c r="A4" s="77"/>
      <c r="B4" s="75" t="s">
        <v>26</v>
      </c>
      <c r="C4" s="76" t="str">
        <f>'1. Setup &amp; Recap'!O13</f>
        <v/>
      </c>
      <c r="D4" s="77"/>
      <c r="E4" s="77"/>
      <c r="F4" s="78" t="s">
        <v>91</v>
      </c>
      <c r="G4" s="83">
        <f>'1. Setup &amp; Recap'!G5</f>
        <v>10</v>
      </c>
      <c r="H4" s="77"/>
      <c r="I4" s="77"/>
      <c r="J4" s="77"/>
      <c r="K4" s="77"/>
      <c r="L4" s="77"/>
      <c r="M4" s="77"/>
      <c r="N4" s="14"/>
      <c r="O4" s="77"/>
      <c r="P4" s="77"/>
      <c r="Q4" s="77"/>
      <c r="R4" s="77"/>
      <c r="S4" s="77"/>
      <c r="T4" s="77"/>
      <c r="U4" s="77"/>
      <c r="V4" s="77"/>
      <c r="W4" s="77"/>
    </row>
    <row r="5" ht="12.75" customHeight="1">
      <c r="A5" s="77"/>
      <c r="B5" s="75" t="s">
        <v>28</v>
      </c>
      <c r="C5" s="84" t="str">
        <f>'1. Setup &amp; Recap'!O14</f>
        <v/>
      </c>
      <c r="D5" s="77"/>
      <c r="E5" s="77"/>
      <c r="F5" s="78" t="s">
        <v>92</v>
      </c>
      <c r="G5" s="85">
        <f>CAW</f>
        <v>23</v>
      </c>
      <c r="H5" s="77"/>
      <c r="I5" s="86" t="s">
        <v>93</v>
      </c>
      <c r="J5" s="87" t="s">
        <v>94</v>
      </c>
      <c r="K5" s="88" t="s">
        <v>95</v>
      </c>
      <c r="L5" s="77"/>
      <c r="M5" s="77"/>
      <c r="N5" s="14"/>
      <c r="O5" s="77"/>
      <c r="P5" s="77"/>
      <c r="Q5" s="77"/>
      <c r="R5" s="77"/>
      <c r="S5" s="77"/>
      <c r="T5" s="77"/>
      <c r="U5" s="77"/>
      <c r="V5" s="77"/>
      <c r="W5" s="77"/>
    </row>
    <row r="6" ht="12.75" customHeight="1">
      <c r="A6" s="77"/>
      <c r="B6" s="75" t="s">
        <v>96</v>
      </c>
      <c r="C6" s="89"/>
      <c r="D6" s="77"/>
      <c r="E6" s="77"/>
      <c r="F6" s="78" t="s">
        <v>97</v>
      </c>
      <c r="G6" s="90">
        <f>'1. Setup &amp; Recap'!G7</f>
        <v>0.12</v>
      </c>
      <c r="H6" s="77"/>
      <c r="I6" s="91" t="s">
        <v>98</v>
      </c>
      <c r="J6" s="92">
        <f>DSUM(F9:G997,F9,K5:K6)</f>
        <v>0</v>
      </c>
      <c r="K6" s="93" t="s">
        <v>99</v>
      </c>
      <c r="L6" s="77"/>
      <c r="M6" s="77"/>
      <c r="N6" s="14"/>
      <c r="O6" s="14"/>
      <c r="P6" s="77"/>
      <c r="Q6" s="77"/>
      <c r="R6" s="77"/>
      <c r="S6" s="77"/>
      <c r="T6" s="77"/>
      <c r="U6" s="77"/>
      <c r="V6" s="77"/>
      <c r="W6" s="77"/>
    </row>
    <row r="7" ht="12.75" customHeight="1">
      <c r="A7" s="77"/>
      <c r="B7" s="75"/>
      <c r="C7" s="78"/>
      <c r="D7" s="77"/>
      <c r="E7" s="77"/>
      <c r="F7" s="78" t="s">
        <v>100</v>
      </c>
      <c r="G7" s="94">
        <f>'1. Setup &amp; Recap'!G6</f>
        <v>0.1</v>
      </c>
      <c r="H7" s="77"/>
      <c r="I7" s="77"/>
      <c r="J7" s="77"/>
      <c r="K7" s="77"/>
      <c r="L7" s="77"/>
      <c r="M7" s="77"/>
      <c r="N7" s="14"/>
      <c r="O7" s="77"/>
      <c r="P7" s="77"/>
      <c r="Q7" s="77"/>
      <c r="R7" s="77"/>
      <c r="S7" s="77"/>
      <c r="T7" s="77"/>
      <c r="U7" s="77"/>
      <c r="V7" s="77"/>
      <c r="W7" s="77"/>
    </row>
    <row r="8" ht="12.75" customHeight="1">
      <c r="A8" s="77"/>
      <c r="B8" s="75"/>
      <c r="C8" s="78"/>
      <c r="D8" s="77"/>
      <c r="E8" s="77"/>
      <c r="F8" s="95" t="s">
        <v>101</v>
      </c>
      <c r="G8" s="96"/>
      <c r="H8" s="97"/>
      <c r="I8" s="98" t="str">
        <f>F8*H8</f>
        <v>#VALUE!</v>
      </c>
      <c r="J8" s="98" t="str">
        <f>F8*H8</f>
        <v>#VALUE!</v>
      </c>
      <c r="K8" s="98" t="str">
        <f>F8*H8</f>
        <v>#VALUE!</v>
      </c>
      <c r="L8" s="98" t="str">
        <f>F8*H8</f>
        <v>#VALUE!</v>
      </c>
      <c r="M8" s="77"/>
      <c r="N8" s="14"/>
      <c r="O8" s="77"/>
      <c r="P8" s="77"/>
      <c r="Q8" s="77"/>
      <c r="R8" s="77"/>
      <c r="S8" s="77"/>
      <c r="T8" s="77"/>
      <c r="U8" s="77"/>
      <c r="V8" s="77"/>
      <c r="W8" s="77"/>
    </row>
    <row r="9" ht="12.75" customHeight="1">
      <c r="A9" s="78" t="s">
        <v>102</v>
      </c>
      <c r="B9" s="78" t="s">
        <v>103</v>
      </c>
      <c r="C9" s="78"/>
      <c r="D9" s="78"/>
      <c r="E9" s="78"/>
      <c r="F9" s="99" t="s">
        <v>94</v>
      </c>
      <c r="G9" s="100" t="s">
        <v>95</v>
      </c>
      <c r="H9" s="99" t="s">
        <v>104</v>
      </c>
      <c r="I9" s="99" t="s">
        <v>105</v>
      </c>
      <c r="J9" s="99" t="s">
        <v>36</v>
      </c>
      <c r="K9" s="99" t="s">
        <v>106</v>
      </c>
      <c r="L9" s="99" t="s">
        <v>107</v>
      </c>
      <c r="M9" s="77"/>
      <c r="N9" s="14"/>
      <c r="O9" s="77"/>
      <c r="P9" s="77"/>
      <c r="Q9" s="77"/>
      <c r="R9" s="77"/>
      <c r="S9" s="77"/>
      <c r="T9" s="77"/>
      <c r="U9" s="77"/>
      <c r="V9" s="77"/>
      <c r="W9" s="77"/>
    </row>
    <row r="10" ht="12.75" customHeight="1">
      <c r="A10" s="101"/>
      <c r="B10" s="102" t="s">
        <v>108</v>
      </c>
      <c r="C10" s="102"/>
      <c r="D10" s="102"/>
      <c r="E10" s="103"/>
      <c r="F10" s="104"/>
      <c r="G10" s="105"/>
      <c r="H10" s="104"/>
      <c r="I10" s="106">
        <f t="shared" ref="I10:L10" si="1">SUM(I11:I997)</f>
        <v>0</v>
      </c>
      <c r="J10" s="106">
        <f t="shared" si="1"/>
        <v>0</v>
      </c>
      <c r="K10" s="106">
        <f t="shared" si="1"/>
        <v>0</v>
      </c>
      <c r="L10" s="106">
        <f t="shared" si="1"/>
        <v>0</v>
      </c>
      <c r="M10" s="77"/>
      <c r="N10" s="14"/>
      <c r="O10" s="77"/>
      <c r="P10" s="77"/>
      <c r="Q10" s="77"/>
      <c r="R10" s="77"/>
      <c r="S10" s="77"/>
      <c r="T10" s="77"/>
      <c r="U10" s="77"/>
      <c r="V10" s="77"/>
      <c r="W10" s="77"/>
    </row>
    <row r="11" ht="12.75" customHeight="1">
      <c r="A11" s="107"/>
      <c r="B11" s="108" t="s">
        <v>35</v>
      </c>
      <c r="C11" s="109"/>
      <c r="D11" s="109"/>
      <c r="E11" s="109"/>
      <c r="F11" s="117">
        <v>0.0</v>
      </c>
      <c r="G11" s="118" t="s">
        <v>205</v>
      </c>
      <c r="H11" s="144">
        <v>1.0</v>
      </c>
      <c r="I11" s="111">
        <f t="shared" ref="I11:I17" si="2">F11*H11</f>
        <v>0</v>
      </c>
      <c r="J11" s="112"/>
      <c r="K11" s="113"/>
      <c r="L11" s="113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</row>
    <row r="12" ht="12.75" customHeight="1">
      <c r="A12" s="114"/>
      <c r="B12" s="115"/>
      <c r="C12" s="116"/>
      <c r="D12" s="116"/>
      <c r="E12" s="116"/>
      <c r="F12" s="117">
        <v>0.0</v>
      </c>
      <c r="G12" s="118" t="s">
        <v>205</v>
      </c>
      <c r="H12" s="141">
        <v>1.0</v>
      </c>
      <c r="I12" s="111">
        <f t="shared" si="2"/>
        <v>0</v>
      </c>
      <c r="J12" s="112"/>
      <c r="K12" s="111"/>
      <c r="L12" s="112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</row>
    <row r="13" ht="12.75" customHeight="1">
      <c r="A13" s="114"/>
      <c r="B13" s="122"/>
      <c r="C13" s="116"/>
      <c r="D13" s="116"/>
      <c r="E13" s="116"/>
      <c r="F13" s="117">
        <v>0.0</v>
      </c>
      <c r="G13" s="118" t="s">
        <v>205</v>
      </c>
      <c r="H13" s="141">
        <v>1.0</v>
      </c>
      <c r="I13" s="111">
        <f t="shared" si="2"/>
        <v>0</v>
      </c>
      <c r="J13" s="111"/>
      <c r="K13" s="112"/>
      <c r="L13" s="112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</row>
    <row r="14" ht="12.75" customHeight="1">
      <c r="A14" s="114"/>
      <c r="B14" s="21"/>
      <c r="C14" s="122"/>
      <c r="D14" s="116"/>
      <c r="E14" s="116"/>
      <c r="F14" s="117">
        <v>0.0</v>
      </c>
      <c r="G14" s="118" t="s">
        <v>205</v>
      </c>
      <c r="H14" s="144">
        <v>1.0</v>
      </c>
      <c r="I14" s="111">
        <f t="shared" si="2"/>
        <v>0</v>
      </c>
      <c r="J14" s="111"/>
      <c r="K14" s="112"/>
      <c r="L14" s="112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</row>
    <row r="15" ht="12.75" customHeight="1">
      <c r="A15" s="114"/>
      <c r="B15" s="122"/>
      <c r="C15" s="116"/>
      <c r="D15" s="116"/>
      <c r="E15" s="116"/>
      <c r="F15" s="117">
        <v>0.0</v>
      </c>
      <c r="G15" s="118" t="s">
        <v>205</v>
      </c>
      <c r="H15" s="141">
        <v>1.0</v>
      </c>
      <c r="I15" s="111">
        <f t="shared" si="2"/>
        <v>0</v>
      </c>
      <c r="J15" s="112"/>
      <c r="K15" s="111"/>
      <c r="L15" s="112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</row>
    <row r="16" ht="12.75" customHeight="1">
      <c r="A16" s="114"/>
      <c r="B16" s="122"/>
      <c r="C16" s="116"/>
      <c r="D16" s="116"/>
      <c r="E16" s="116"/>
      <c r="F16" s="117">
        <v>0.0</v>
      </c>
      <c r="G16" s="118" t="s">
        <v>205</v>
      </c>
      <c r="H16" s="144">
        <v>1.0</v>
      </c>
      <c r="I16" s="111">
        <f t="shared" si="2"/>
        <v>0</v>
      </c>
      <c r="J16" s="112"/>
      <c r="K16" s="111"/>
      <c r="L16" s="112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</row>
    <row r="17" ht="12.75" customHeight="1">
      <c r="A17" s="114"/>
      <c r="B17" s="21"/>
      <c r="C17" s="116"/>
      <c r="D17" s="116"/>
      <c r="E17" s="116"/>
      <c r="F17" s="117"/>
      <c r="G17" s="125"/>
      <c r="H17" s="141"/>
      <c r="I17" s="111">
        <f t="shared" si="2"/>
        <v>0</v>
      </c>
      <c r="J17" s="139"/>
      <c r="K17" s="111"/>
      <c r="L17" s="139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</row>
    <row r="18" ht="12.75" customHeight="1">
      <c r="A18" s="107"/>
      <c r="B18" s="122"/>
      <c r="C18" s="122"/>
      <c r="D18" s="116"/>
      <c r="E18" s="116"/>
      <c r="F18" s="117"/>
      <c r="G18" s="118"/>
      <c r="H18" s="144"/>
      <c r="I18" s="111"/>
      <c r="J18" s="111"/>
      <c r="K18" s="111"/>
      <c r="L18" s="111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</row>
    <row r="19" ht="12.75" customHeight="1">
      <c r="A19" s="107"/>
      <c r="B19" s="127" t="s">
        <v>36</v>
      </c>
      <c r="C19" s="122"/>
      <c r="D19" s="116"/>
      <c r="E19" s="116"/>
      <c r="F19" s="117">
        <v>0.0</v>
      </c>
      <c r="G19" s="118" t="s">
        <v>99</v>
      </c>
      <c r="H19" s="144">
        <f t="shared" ref="H19:H20" si="3">$J$2</f>
        <v>28.06</v>
      </c>
      <c r="I19" s="111"/>
      <c r="J19" s="111">
        <f t="shared" ref="J19:J21" si="4">F19*H19</f>
        <v>0</v>
      </c>
      <c r="K19" s="111"/>
      <c r="L19" s="111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</row>
    <row r="20" ht="12.75" customHeight="1">
      <c r="A20" s="107"/>
      <c r="B20" s="122"/>
      <c r="C20" s="122"/>
      <c r="D20" s="116"/>
      <c r="E20" s="116"/>
      <c r="F20" s="117">
        <v>0.0</v>
      </c>
      <c r="G20" s="118" t="s">
        <v>99</v>
      </c>
      <c r="H20" s="144">
        <f t="shared" si="3"/>
        <v>28.06</v>
      </c>
      <c r="I20" s="111"/>
      <c r="J20" s="111">
        <f t="shared" si="4"/>
        <v>0</v>
      </c>
      <c r="K20" s="111"/>
      <c r="L20" s="112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</row>
    <row r="21" ht="12.75" customHeight="1">
      <c r="A21" s="107"/>
      <c r="B21" s="122"/>
      <c r="C21" s="122"/>
      <c r="D21" s="116"/>
      <c r="E21" s="116"/>
      <c r="F21" s="117">
        <v>0.0</v>
      </c>
      <c r="G21" s="118"/>
      <c r="H21" s="144"/>
      <c r="I21" s="111"/>
      <c r="J21" s="111">
        <f t="shared" si="4"/>
        <v>0</v>
      </c>
      <c r="K21" s="111"/>
      <c r="L21" s="140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</row>
    <row r="22" ht="12.75" customHeight="1">
      <c r="A22" s="114"/>
      <c r="B22" s="116"/>
      <c r="C22" s="116"/>
      <c r="D22" s="116"/>
      <c r="E22" s="116"/>
      <c r="F22" s="117"/>
      <c r="G22" s="125"/>
      <c r="H22" s="141"/>
      <c r="I22" s="112"/>
      <c r="J22" s="139"/>
      <c r="K22" s="111"/>
      <c r="L22" s="139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</row>
    <row r="23" ht="12.75" customHeight="1">
      <c r="A23" s="114"/>
      <c r="B23" s="128"/>
      <c r="C23" s="116"/>
      <c r="D23" s="116"/>
      <c r="E23" s="116"/>
      <c r="F23" s="117"/>
      <c r="G23" s="125"/>
      <c r="H23" s="141"/>
      <c r="I23" s="111"/>
      <c r="J23" s="139"/>
      <c r="K23" s="111"/>
      <c r="L23" s="139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</row>
    <row r="24" ht="12.75" customHeight="1">
      <c r="A24" s="114"/>
      <c r="B24" s="116"/>
      <c r="C24" s="116"/>
      <c r="D24" s="116"/>
      <c r="E24" s="116"/>
      <c r="F24" s="117"/>
      <c r="G24" s="125"/>
      <c r="H24" s="144"/>
      <c r="I24" s="111"/>
      <c r="J24" s="111"/>
      <c r="K24" s="111"/>
      <c r="L24" s="139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</row>
    <row r="25" ht="12.75" customHeight="1">
      <c r="A25" s="114"/>
      <c r="B25" s="116"/>
      <c r="C25" s="116"/>
      <c r="D25" s="116"/>
      <c r="E25" s="116"/>
      <c r="F25" s="117"/>
      <c r="G25" s="125"/>
      <c r="H25" s="144"/>
      <c r="I25" s="111"/>
      <c r="J25" s="139"/>
      <c r="K25" s="111"/>
      <c r="L25" s="139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</row>
    <row r="26" ht="12.75" customHeight="1">
      <c r="A26" s="114"/>
      <c r="B26" s="122"/>
      <c r="C26" s="116"/>
      <c r="D26" s="116"/>
      <c r="E26" s="116"/>
      <c r="F26" s="117"/>
      <c r="G26" s="125"/>
      <c r="H26" s="141"/>
      <c r="I26" s="112"/>
      <c r="J26" s="139"/>
      <c r="K26" s="111"/>
      <c r="L26" s="139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</row>
    <row r="27" ht="12.75" customHeight="1">
      <c r="A27" s="114"/>
      <c r="B27" s="122"/>
      <c r="C27" s="122"/>
      <c r="D27" s="116"/>
      <c r="E27" s="116"/>
      <c r="F27" s="117"/>
      <c r="G27" s="125"/>
      <c r="H27" s="141"/>
      <c r="I27" s="111"/>
      <c r="J27" s="139"/>
      <c r="K27" s="111"/>
      <c r="L27" s="139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</row>
    <row r="28" ht="12.75" customHeight="1">
      <c r="A28" s="114"/>
      <c r="B28" s="21"/>
      <c r="C28" s="122"/>
      <c r="D28" s="116"/>
      <c r="E28" s="116"/>
      <c r="F28" s="117"/>
      <c r="G28" s="125"/>
      <c r="H28" s="141"/>
      <c r="I28" s="112"/>
      <c r="J28" s="139"/>
      <c r="K28" s="111"/>
      <c r="L28" s="142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</row>
    <row r="29" ht="12.75" customHeight="1">
      <c r="A29" s="114"/>
      <c r="B29" s="122"/>
      <c r="C29" s="116"/>
      <c r="D29" s="116"/>
      <c r="E29" s="116"/>
      <c r="F29" s="117"/>
      <c r="G29" s="125"/>
      <c r="H29" s="141"/>
      <c r="I29" s="112"/>
      <c r="J29" s="139"/>
      <c r="K29" s="139"/>
      <c r="L29" s="139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</row>
    <row r="30" ht="12.75" customHeight="1">
      <c r="A30" s="107"/>
      <c r="B30" s="122"/>
      <c r="C30" s="109"/>
      <c r="D30" s="109"/>
      <c r="E30" s="109"/>
      <c r="F30" s="117"/>
      <c r="G30" s="125"/>
      <c r="H30" s="143"/>
      <c r="I30" s="111"/>
      <c r="J30" s="140"/>
      <c r="K30" s="140"/>
      <c r="L30" s="140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</row>
    <row r="31" ht="12.75" customHeight="1">
      <c r="A31" s="114"/>
      <c r="B31" s="116"/>
      <c r="C31" s="122"/>
      <c r="D31" s="116"/>
      <c r="E31" s="116"/>
      <c r="F31" s="117"/>
      <c r="G31" s="125"/>
      <c r="H31" s="144"/>
      <c r="I31" s="112"/>
      <c r="J31" s="139"/>
      <c r="K31" s="139"/>
      <c r="L31" s="139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</row>
    <row r="32" ht="12.75" customHeight="1">
      <c r="A32" s="114"/>
      <c r="B32" s="116"/>
      <c r="C32" s="122"/>
      <c r="D32" s="116"/>
      <c r="E32" s="116"/>
      <c r="F32" s="117"/>
      <c r="G32" s="125"/>
      <c r="H32" s="141"/>
      <c r="I32" s="112"/>
      <c r="J32" s="139"/>
      <c r="K32" s="145"/>
      <c r="L32" s="139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</row>
    <row r="33" ht="12.75" customHeight="1">
      <c r="A33" s="114"/>
      <c r="B33" s="128" t="s">
        <v>37</v>
      </c>
      <c r="C33" s="116"/>
      <c r="D33" s="116"/>
      <c r="E33" s="116"/>
      <c r="F33" s="117">
        <v>0.0</v>
      </c>
      <c r="G33" s="125" t="s">
        <v>180</v>
      </c>
      <c r="H33" s="141">
        <v>1.0</v>
      </c>
      <c r="I33" s="111"/>
      <c r="J33" s="139"/>
      <c r="K33" s="111">
        <f t="shared" ref="K33:K34" si="5">F33*H33</f>
        <v>0</v>
      </c>
      <c r="L33" s="139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</row>
    <row r="34" ht="12.75" customHeight="1">
      <c r="A34" s="114"/>
      <c r="B34" s="116"/>
      <c r="C34" s="116"/>
      <c r="D34" s="116"/>
      <c r="E34" s="116"/>
      <c r="F34" s="117">
        <v>0.0</v>
      </c>
      <c r="G34" s="125" t="s">
        <v>180</v>
      </c>
      <c r="H34" s="144">
        <v>1.0</v>
      </c>
      <c r="I34" s="111"/>
      <c r="J34" s="111"/>
      <c r="K34" s="111">
        <f t="shared" si="5"/>
        <v>0</v>
      </c>
      <c r="L34" s="139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</row>
    <row r="35" ht="12.75" customHeight="1">
      <c r="A35" s="114"/>
      <c r="B35" s="122"/>
      <c r="C35" s="116"/>
      <c r="D35" s="116"/>
      <c r="E35" s="116"/>
      <c r="F35" s="117"/>
      <c r="G35" s="125"/>
      <c r="H35" s="141"/>
      <c r="I35" s="111"/>
      <c r="J35" s="139"/>
      <c r="K35" s="139"/>
      <c r="L35" s="139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</row>
    <row r="36" ht="12.75" customHeight="1">
      <c r="A36" s="114"/>
      <c r="B36" s="116"/>
      <c r="C36" s="122"/>
      <c r="D36" s="116"/>
      <c r="E36" s="116"/>
      <c r="F36" s="117"/>
      <c r="G36" s="125"/>
      <c r="H36" s="144"/>
      <c r="I36" s="112"/>
      <c r="J36" s="139"/>
      <c r="K36" s="139"/>
      <c r="L36" s="139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</row>
    <row r="37" ht="12.75" customHeight="1">
      <c r="A37" s="107"/>
      <c r="B37" s="116"/>
      <c r="C37" s="122"/>
      <c r="D37" s="109"/>
      <c r="E37" s="109"/>
      <c r="F37" s="117"/>
      <c r="G37" s="125"/>
      <c r="H37" s="143"/>
      <c r="I37" s="111"/>
      <c r="J37" s="140"/>
      <c r="K37" s="140"/>
      <c r="L37" s="140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</row>
    <row r="38" ht="12.75" customHeight="1">
      <c r="A38" s="114"/>
      <c r="B38" s="116"/>
      <c r="C38" s="122"/>
      <c r="D38" s="116"/>
      <c r="E38" s="116"/>
      <c r="F38" s="117"/>
      <c r="G38" s="125"/>
      <c r="H38" s="141"/>
      <c r="I38" s="112"/>
      <c r="J38" s="139"/>
      <c r="K38" s="145"/>
      <c r="L38" s="139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</row>
    <row r="39" ht="12.75" customHeight="1">
      <c r="A39" s="114"/>
      <c r="B39" s="122"/>
      <c r="C39" s="116"/>
      <c r="D39" s="116"/>
      <c r="E39" s="116"/>
      <c r="F39" s="117"/>
      <c r="G39" s="125"/>
      <c r="H39" s="141"/>
      <c r="I39" s="112"/>
      <c r="J39" s="139"/>
      <c r="K39" s="139"/>
      <c r="L39" s="139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</row>
    <row r="40" ht="12.75" customHeight="1">
      <c r="A40" s="114"/>
      <c r="B40" s="122"/>
      <c r="C40" s="116"/>
      <c r="D40" s="116"/>
      <c r="E40" s="116"/>
      <c r="F40" s="117"/>
      <c r="G40" s="125"/>
      <c r="H40" s="141"/>
      <c r="I40" s="111"/>
      <c r="J40" s="139"/>
      <c r="K40" s="139"/>
      <c r="L40" s="139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</row>
    <row r="41" ht="12.75" customHeight="1">
      <c r="A41" s="114"/>
      <c r="B41" s="21"/>
      <c r="C41" s="122"/>
      <c r="D41" s="116"/>
      <c r="E41" s="116"/>
      <c r="F41" s="117"/>
      <c r="G41" s="125"/>
      <c r="H41" s="144"/>
      <c r="I41" s="112"/>
      <c r="J41" s="139"/>
      <c r="K41" s="139"/>
      <c r="L41" s="139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</row>
    <row r="42" ht="12.75" customHeight="1">
      <c r="A42" s="114"/>
      <c r="B42" s="122"/>
      <c r="C42" s="116"/>
      <c r="D42" s="116"/>
      <c r="E42" s="116"/>
      <c r="F42" s="117"/>
      <c r="G42" s="125"/>
      <c r="H42" s="141"/>
      <c r="I42" s="112"/>
      <c r="J42" s="139"/>
      <c r="K42" s="139"/>
      <c r="L42" s="139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</row>
    <row r="43" ht="12.75" customHeight="1">
      <c r="A43" s="114"/>
      <c r="B43" s="122"/>
      <c r="C43" s="116"/>
      <c r="D43" s="116"/>
      <c r="E43" s="116"/>
      <c r="F43" s="117"/>
      <c r="G43" s="125"/>
      <c r="H43" s="141"/>
      <c r="I43" s="111"/>
      <c r="J43" s="139"/>
      <c r="K43" s="139"/>
      <c r="L43" s="139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</row>
    <row r="44" ht="12.75" customHeight="1">
      <c r="A44" s="114"/>
      <c r="B44" s="21"/>
      <c r="C44" s="122"/>
      <c r="D44" s="116"/>
      <c r="E44" s="116"/>
      <c r="F44" s="117"/>
      <c r="G44" s="125"/>
      <c r="H44" s="144"/>
      <c r="I44" s="112"/>
      <c r="J44" s="139"/>
      <c r="K44" s="139"/>
      <c r="L44" s="139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</row>
    <row r="45" ht="12.75" customHeight="1">
      <c r="A45" s="114"/>
      <c r="B45" s="146"/>
      <c r="C45" s="114"/>
      <c r="D45" s="114"/>
      <c r="E45" s="114"/>
      <c r="F45" s="131"/>
      <c r="G45" s="132"/>
      <c r="H45" s="133"/>
      <c r="I45" s="112"/>
      <c r="J45" s="139"/>
      <c r="K45" s="139"/>
      <c r="L45" s="139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</row>
    <row r="46" ht="12.75" customHeight="1">
      <c r="A46" s="107"/>
      <c r="B46" s="146"/>
      <c r="C46" s="107"/>
      <c r="D46" s="107"/>
      <c r="E46" s="107"/>
      <c r="F46" s="131"/>
      <c r="G46" s="132"/>
      <c r="H46" s="136"/>
      <c r="I46" s="111"/>
      <c r="J46" s="140"/>
      <c r="K46" s="140"/>
      <c r="L46" s="140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</row>
    <row r="47" ht="12.75" customHeight="1">
      <c r="A47" s="107"/>
      <c r="B47" s="77"/>
      <c r="C47" s="146"/>
      <c r="D47" s="107"/>
      <c r="E47" s="107"/>
      <c r="F47" s="131"/>
      <c r="G47" s="132"/>
      <c r="H47" s="147"/>
      <c r="I47" s="113"/>
      <c r="J47" s="139"/>
      <c r="K47" s="140"/>
      <c r="L47" s="140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</row>
    <row r="48" ht="12.75" customHeight="1">
      <c r="A48" s="114"/>
      <c r="B48" s="146"/>
      <c r="C48" s="114"/>
      <c r="D48" s="114"/>
      <c r="E48" s="114"/>
      <c r="F48" s="131"/>
      <c r="G48" s="132"/>
      <c r="H48" s="133"/>
      <c r="I48" s="112"/>
      <c r="J48" s="139"/>
      <c r="K48" s="139"/>
      <c r="L48" s="139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</row>
    <row r="49" ht="12.75" customHeight="1">
      <c r="A49" s="114"/>
      <c r="B49" s="146"/>
      <c r="C49" s="114"/>
      <c r="D49" s="114"/>
      <c r="E49" s="114"/>
      <c r="F49" s="131"/>
      <c r="G49" s="132"/>
      <c r="H49" s="136"/>
      <c r="I49" s="111"/>
      <c r="J49" s="140"/>
      <c r="K49" s="139"/>
      <c r="L49" s="139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</row>
    <row r="50" ht="12.75" customHeight="1">
      <c r="A50" s="114"/>
      <c r="B50" s="114"/>
      <c r="C50" s="146"/>
      <c r="D50" s="114"/>
      <c r="E50" s="114"/>
      <c r="F50" s="131"/>
      <c r="G50" s="132"/>
      <c r="H50" s="147"/>
      <c r="I50" s="113"/>
      <c r="J50" s="139"/>
      <c r="K50" s="139"/>
      <c r="L50" s="139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</row>
    <row r="51" ht="12.75" customHeight="1">
      <c r="A51" s="114"/>
      <c r="B51" s="114"/>
      <c r="C51" s="114"/>
      <c r="D51" s="114"/>
      <c r="E51" s="114"/>
      <c r="F51" s="131"/>
      <c r="G51" s="132"/>
      <c r="H51" s="133"/>
      <c r="I51" s="112"/>
      <c r="J51" s="139"/>
      <c r="K51" s="139"/>
      <c r="L51" s="139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</row>
    <row r="52" ht="12.75" customHeight="1">
      <c r="A52" s="114"/>
      <c r="B52" s="114"/>
      <c r="C52" s="114"/>
      <c r="D52" s="114"/>
      <c r="E52" s="114"/>
      <c r="F52" s="131"/>
      <c r="G52" s="132"/>
      <c r="H52" s="133"/>
      <c r="I52" s="112"/>
      <c r="J52" s="139"/>
      <c r="K52" s="139"/>
      <c r="L52" s="139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</row>
    <row r="53" ht="12.75" customHeight="1">
      <c r="A53" s="114"/>
      <c r="B53" s="146"/>
      <c r="C53" s="114"/>
      <c r="D53" s="114"/>
      <c r="E53" s="114"/>
      <c r="F53" s="131"/>
      <c r="G53" s="132"/>
      <c r="H53" s="147"/>
      <c r="I53" s="112"/>
      <c r="J53" s="139"/>
      <c r="K53" s="139"/>
      <c r="L53" s="139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</row>
    <row r="54" ht="12.75" customHeight="1">
      <c r="A54" s="114"/>
      <c r="B54" s="114"/>
      <c r="C54" s="114"/>
      <c r="D54" s="114"/>
      <c r="E54" s="114"/>
      <c r="F54" s="131"/>
      <c r="G54" s="132"/>
      <c r="H54" s="133"/>
      <c r="I54" s="112"/>
      <c r="J54" s="139"/>
      <c r="K54" s="139"/>
      <c r="L54" s="139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</row>
    <row r="55" ht="12.75" customHeight="1">
      <c r="A55" s="114"/>
      <c r="B55" s="114"/>
      <c r="C55" s="114"/>
      <c r="D55" s="114"/>
      <c r="E55" s="114"/>
      <c r="F55" s="131"/>
      <c r="G55" s="132"/>
      <c r="H55" s="133"/>
      <c r="I55" s="112"/>
      <c r="J55" s="139"/>
      <c r="K55" s="139"/>
      <c r="L55" s="139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</row>
    <row r="56" ht="12.75" customHeight="1">
      <c r="A56" s="114"/>
      <c r="B56" s="114"/>
      <c r="C56" s="114"/>
      <c r="D56" s="114"/>
      <c r="E56" s="114"/>
      <c r="F56" s="131"/>
      <c r="G56" s="132"/>
      <c r="H56" s="133"/>
      <c r="I56" s="112"/>
      <c r="J56" s="139"/>
      <c r="K56" s="139"/>
      <c r="L56" s="139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</row>
    <row r="57" ht="12.75" customHeight="1">
      <c r="A57" s="114"/>
      <c r="B57" s="114"/>
      <c r="C57" s="114"/>
      <c r="D57" s="114"/>
      <c r="E57" s="114"/>
      <c r="F57" s="131"/>
      <c r="G57" s="132"/>
      <c r="H57" s="133"/>
      <c r="I57" s="112"/>
      <c r="J57" s="139"/>
      <c r="K57" s="139"/>
      <c r="L57" s="139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</row>
    <row r="58" ht="12.75" customHeight="1">
      <c r="A58" s="107"/>
      <c r="B58" s="107"/>
      <c r="C58" s="107"/>
      <c r="D58" s="107"/>
      <c r="E58" s="107"/>
      <c r="F58" s="134"/>
      <c r="G58" s="135"/>
      <c r="H58" s="136"/>
      <c r="I58" s="113"/>
      <c r="J58" s="140"/>
      <c r="K58" s="140"/>
      <c r="L58" s="140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</row>
    <row r="59" ht="12.75" customHeight="1">
      <c r="A59" s="114"/>
      <c r="B59" s="114"/>
      <c r="C59" s="114"/>
      <c r="D59" s="114"/>
      <c r="E59" s="114"/>
      <c r="F59" s="131"/>
      <c r="G59" s="132"/>
      <c r="H59" s="133"/>
      <c r="I59" s="112"/>
      <c r="J59" s="139"/>
      <c r="K59" s="139"/>
      <c r="L59" s="139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</row>
    <row r="60" ht="12.75" customHeight="1">
      <c r="A60" s="114"/>
      <c r="B60" s="114"/>
      <c r="C60" s="114"/>
      <c r="D60" s="114"/>
      <c r="E60" s="114"/>
      <c r="F60" s="131"/>
      <c r="G60" s="132"/>
      <c r="H60" s="133"/>
      <c r="I60" s="112"/>
      <c r="J60" s="139"/>
      <c r="K60" s="139"/>
      <c r="L60" s="139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</row>
    <row r="61" ht="12.75" customHeight="1">
      <c r="A61" s="114"/>
      <c r="B61" s="114"/>
      <c r="C61" s="114"/>
      <c r="D61" s="114"/>
      <c r="E61" s="114"/>
      <c r="F61" s="131"/>
      <c r="G61" s="132"/>
      <c r="H61" s="133"/>
      <c r="I61" s="112"/>
      <c r="J61" s="139"/>
      <c r="K61" s="139"/>
      <c r="L61" s="139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</row>
    <row r="62" ht="12.75" customHeight="1">
      <c r="A62" s="114"/>
      <c r="B62" s="114"/>
      <c r="C62" s="114"/>
      <c r="D62" s="114"/>
      <c r="E62" s="114"/>
      <c r="F62" s="131"/>
      <c r="G62" s="132"/>
      <c r="H62" s="133"/>
      <c r="I62" s="112"/>
      <c r="J62" s="139"/>
      <c r="K62" s="139"/>
      <c r="L62" s="139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</row>
    <row r="63" ht="12.75" customHeight="1">
      <c r="A63" s="114"/>
      <c r="B63" s="114"/>
      <c r="C63" s="114"/>
      <c r="D63" s="114"/>
      <c r="E63" s="114"/>
      <c r="F63" s="131"/>
      <c r="G63" s="132"/>
      <c r="H63" s="133"/>
      <c r="I63" s="112"/>
      <c r="J63" s="139"/>
      <c r="K63" s="139"/>
      <c r="L63" s="139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</row>
    <row r="64" ht="12.75" customHeight="1">
      <c r="A64" s="114"/>
      <c r="B64" s="114"/>
      <c r="C64" s="114"/>
      <c r="D64" s="114"/>
      <c r="E64" s="114"/>
      <c r="F64" s="131"/>
      <c r="G64" s="132"/>
      <c r="H64" s="133"/>
      <c r="I64" s="112"/>
      <c r="J64" s="112"/>
      <c r="K64" s="112"/>
      <c r="L64" s="112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</row>
    <row r="65" ht="12.75" customHeight="1">
      <c r="A65" s="114"/>
      <c r="B65" s="114"/>
      <c r="C65" s="114"/>
      <c r="D65" s="114"/>
      <c r="E65" s="114"/>
      <c r="F65" s="131"/>
      <c r="G65" s="132"/>
      <c r="H65" s="133"/>
      <c r="I65" s="112"/>
      <c r="J65" s="112"/>
      <c r="K65" s="112"/>
      <c r="L65" s="112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</row>
    <row r="66" ht="12.75" customHeight="1">
      <c r="A66" s="114"/>
      <c r="B66" s="114"/>
      <c r="C66" s="114"/>
      <c r="D66" s="114"/>
      <c r="E66" s="114"/>
      <c r="F66" s="131"/>
      <c r="G66" s="132"/>
      <c r="H66" s="133"/>
      <c r="I66" s="112"/>
      <c r="J66" s="112"/>
      <c r="K66" s="112"/>
      <c r="L66" s="112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</row>
    <row r="67" ht="12.75" customHeight="1">
      <c r="A67" s="107"/>
      <c r="B67" s="107"/>
      <c r="C67" s="107"/>
      <c r="D67" s="107"/>
      <c r="E67" s="107"/>
      <c r="F67" s="134"/>
      <c r="G67" s="135"/>
      <c r="H67" s="136"/>
      <c r="I67" s="113"/>
      <c r="J67" s="113"/>
      <c r="K67" s="113"/>
      <c r="L67" s="113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</row>
    <row r="68" ht="12.75" customHeight="1">
      <c r="A68" s="114"/>
      <c r="B68" s="114"/>
      <c r="C68" s="114"/>
      <c r="D68" s="114"/>
      <c r="E68" s="114"/>
      <c r="F68" s="131"/>
      <c r="G68" s="132"/>
      <c r="H68" s="133"/>
      <c r="I68" s="112"/>
      <c r="J68" s="112"/>
      <c r="K68" s="112"/>
      <c r="L68" s="112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</row>
    <row r="69" ht="12.75" customHeight="1">
      <c r="A69" s="114"/>
      <c r="B69" s="114"/>
      <c r="C69" s="114"/>
      <c r="D69" s="114"/>
      <c r="E69" s="114"/>
      <c r="F69" s="131"/>
      <c r="G69" s="132"/>
      <c r="H69" s="133"/>
      <c r="I69" s="112"/>
      <c r="J69" s="112"/>
      <c r="K69" s="112"/>
      <c r="L69" s="112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</row>
    <row r="70" ht="12.75" customHeight="1">
      <c r="A70" s="114"/>
      <c r="B70" s="114"/>
      <c r="C70" s="114"/>
      <c r="D70" s="114"/>
      <c r="E70" s="114"/>
      <c r="F70" s="131"/>
      <c r="G70" s="132"/>
      <c r="H70" s="133"/>
      <c r="I70" s="112"/>
      <c r="J70" s="112"/>
      <c r="K70" s="112"/>
      <c r="L70" s="112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</row>
    <row r="71" ht="12.75" customHeight="1">
      <c r="A71" s="114"/>
      <c r="B71" s="114"/>
      <c r="C71" s="114"/>
      <c r="D71" s="114"/>
      <c r="E71" s="114"/>
      <c r="F71" s="131"/>
      <c r="G71" s="132"/>
      <c r="H71" s="133"/>
      <c r="I71" s="112"/>
      <c r="J71" s="112"/>
      <c r="K71" s="112"/>
      <c r="L71" s="112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</row>
    <row r="72" ht="12.75" customHeight="1">
      <c r="A72" s="114"/>
      <c r="B72" s="114"/>
      <c r="C72" s="114"/>
      <c r="D72" s="114"/>
      <c r="E72" s="114"/>
      <c r="F72" s="131"/>
      <c r="G72" s="132"/>
      <c r="H72" s="133"/>
      <c r="I72" s="112"/>
      <c r="J72" s="112"/>
      <c r="K72" s="112"/>
      <c r="L72" s="112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</row>
    <row r="73" ht="12.75" customHeight="1">
      <c r="A73" s="114"/>
      <c r="B73" s="114"/>
      <c r="C73" s="114"/>
      <c r="D73" s="114"/>
      <c r="E73" s="114"/>
      <c r="F73" s="131"/>
      <c r="G73" s="132"/>
      <c r="H73" s="133"/>
      <c r="I73" s="112"/>
      <c r="J73" s="112"/>
      <c r="K73" s="112"/>
      <c r="L73" s="112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</row>
    <row r="74" ht="12.75" customHeight="1">
      <c r="A74" s="107"/>
      <c r="B74" s="107"/>
      <c r="C74" s="107"/>
      <c r="D74" s="107"/>
      <c r="E74" s="107"/>
      <c r="F74" s="134"/>
      <c r="G74" s="135"/>
      <c r="H74" s="136"/>
      <c r="I74" s="113"/>
      <c r="J74" s="113"/>
      <c r="K74" s="113"/>
      <c r="L74" s="113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</row>
    <row r="75" ht="12.75" customHeight="1">
      <c r="A75" s="114"/>
      <c r="B75" s="114"/>
      <c r="C75" s="114"/>
      <c r="D75" s="114"/>
      <c r="E75" s="114"/>
      <c r="F75" s="131"/>
      <c r="G75" s="132"/>
      <c r="H75" s="133"/>
      <c r="I75" s="112"/>
      <c r="J75" s="112"/>
      <c r="K75" s="112"/>
      <c r="L75" s="112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</row>
    <row r="76" ht="12.75" customHeight="1">
      <c r="A76" s="114"/>
      <c r="B76" s="114"/>
      <c r="C76" s="114"/>
      <c r="D76" s="114"/>
      <c r="E76" s="114"/>
      <c r="F76" s="131"/>
      <c r="G76" s="132"/>
      <c r="H76" s="133"/>
      <c r="I76" s="112"/>
      <c r="J76" s="112"/>
      <c r="K76" s="112"/>
      <c r="L76" s="112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</row>
    <row r="77" ht="12.75" customHeight="1">
      <c r="A77" s="114"/>
      <c r="B77" s="114"/>
      <c r="C77" s="114"/>
      <c r="D77" s="114"/>
      <c r="E77" s="114"/>
      <c r="F77" s="131"/>
      <c r="G77" s="132"/>
      <c r="H77" s="133"/>
      <c r="I77" s="112"/>
      <c r="J77" s="112"/>
      <c r="K77" s="112"/>
      <c r="L77" s="112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</row>
    <row r="78" ht="12.75" customHeight="1">
      <c r="A78" s="114"/>
      <c r="B78" s="114"/>
      <c r="C78" s="114"/>
      <c r="D78" s="114"/>
      <c r="E78" s="114"/>
      <c r="F78" s="131"/>
      <c r="G78" s="132"/>
      <c r="H78" s="133"/>
      <c r="I78" s="112"/>
      <c r="J78" s="112"/>
      <c r="K78" s="112"/>
      <c r="L78" s="112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</row>
    <row r="79" ht="12.75" customHeight="1">
      <c r="A79" s="114"/>
      <c r="B79" s="114"/>
      <c r="C79" s="114"/>
      <c r="D79" s="114"/>
      <c r="E79" s="114"/>
      <c r="F79" s="131"/>
      <c r="G79" s="132"/>
      <c r="H79" s="133"/>
      <c r="I79" s="112"/>
      <c r="J79" s="112"/>
      <c r="K79" s="112"/>
      <c r="L79" s="112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</row>
    <row r="80" ht="12.75" customHeight="1">
      <c r="A80" s="114"/>
      <c r="B80" s="114"/>
      <c r="C80" s="114"/>
      <c r="D80" s="114"/>
      <c r="E80" s="114"/>
      <c r="F80" s="131"/>
      <c r="G80" s="132"/>
      <c r="H80" s="133"/>
      <c r="I80" s="112"/>
      <c r="J80" s="112"/>
      <c r="K80" s="112"/>
      <c r="L80" s="112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</row>
    <row r="81" ht="12.75" customHeight="1">
      <c r="A81" s="114"/>
      <c r="B81" s="114"/>
      <c r="C81" s="114"/>
      <c r="D81" s="114"/>
      <c r="E81" s="114"/>
      <c r="F81" s="131"/>
      <c r="G81" s="132"/>
      <c r="H81" s="133"/>
      <c r="I81" s="112"/>
      <c r="J81" s="112"/>
      <c r="K81" s="112"/>
      <c r="L81" s="112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</row>
    <row r="82" ht="12.75" customHeight="1">
      <c r="A82" s="114"/>
      <c r="B82" s="114"/>
      <c r="C82" s="114"/>
      <c r="D82" s="114"/>
      <c r="E82" s="114"/>
      <c r="F82" s="131"/>
      <c r="G82" s="132"/>
      <c r="H82" s="133"/>
      <c r="I82" s="112"/>
      <c r="J82" s="112"/>
      <c r="K82" s="112"/>
      <c r="L82" s="112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</row>
    <row r="83" ht="12.75" customHeight="1">
      <c r="A83" s="107"/>
      <c r="B83" s="107"/>
      <c r="C83" s="107"/>
      <c r="D83" s="107"/>
      <c r="E83" s="107"/>
      <c r="F83" s="134"/>
      <c r="G83" s="135"/>
      <c r="H83" s="136"/>
      <c r="I83" s="113"/>
      <c r="J83" s="113"/>
      <c r="K83" s="113"/>
      <c r="L83" s="113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</row>
    <row r="84" ht="12.75" customHeight="1">
      <c r="A84" s="107"/>
      <c r="B84" s="107"/>
      <c r="C84" s="107"/>
      <c r="D84" s="107"/>
      <c r="E84" s="107"/>
      <c r="F84" s="134"/>
      <c r="G84" s="135"/>
      <c r="H84" s="136"/>
      <c r="I84" s="113"/>
      <c r="J84" s="113"/>
      <c r="K84" s="113"/>
      <c r="L84" s="113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</row>
    <row r="85" ht="12.75" customHeight="1">
      <c r="A85" s="114"/>
      <c r="B85" s="114"/>
      <c r="C85" s="114"/>
      <c r="D85" s="114"/>
      <c r="E85" s="114"/>
      <c r="F85" s="131"/>
      <c r="G85" s="132"/>
      <c r="H85" s="133"/>
      <c r="I85" s="112"/>
      <c r="J85" s="112"/>
      <c r="K85" s="112"/>
      <c r="L85" s="112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</row>
    <row r="86" ht="12.75" customHeight="1">
      <c r="A86" s="114"/>
      <c r="B86" s="114"/>
      <c r="C86" s="114"/>
      <c r="D86" s="114"/>
      <c r="E86" s="114"/>
      <c r="F86" s="131"/>
      <c r="G86" s="132"/>
      <c r="H86" s="133"/>
      <c r="I86" s="112"/>
      <c r="J86" s="112"/>
      <c r="K86" s="112"/>
      <c r="L86" s="112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</row>
    <row r="87" ht="12.75" customHeight="1">
      <c r="A87" s="114"/>
      <c r="B87" s="114"/>
      <c r="C87" s="114"/>
      <c r="D87" s="114"/>
      <c r="E87" s="114"/>
      <c r="F87" s="131"/>
      <c r="G87" s="132"/>
      <c r="H87" s="133"/>
      <c r="I87" s="112"/>
      <c r="J87" s="112"/>
      <c r="K87" s="112"/>
      <c r="L87" s="112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</row>
    <row r="88" ht="12.75" customHeight="1">
      <c r="A88" s="114"/>
      <c r="B88" s="114"/>
      <c r="C88" s="114"/>
      <c r="D88" s="114"/>
      <c r="E88" s="114"/>
      <c r="F88" s="131"/>
      <c r="G88" s="132"/>
      <c r="H88" s="133"/>
      <c r="I88" s="112"/>
      <c r="J88" s="112"/>
      <c r="K88" s="112"/>
      <c r="L88" s="112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</row>
    <row r="89" ht="12.75" customHeight="1">
      <c r="A89" s="114"/>
      <c r="B89" s="114"/>
      <c r="C89" s="114"/>
      <c r="D89" s="114"/>
      <c r="E89" s="114"/>
      <c r="F89" s="131"/>
      <c r="G89" s="132"/>
      <c r="H89" s="133"/>
      <c r="I89" s="112"/>
      <c r="J89" s="112"/>
      <c r="K89" s="112"/>
      <c r="L89" s="112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</row>
    <row r="90" ht="12.75" customHeight="1">
      <c r="A90" s="114"/>
      <c r="B90" s="114"/>
      <c r="C90" s="114"/>
      <c r="D90" s="114"/>
      <c r="E90" s="114"/>
      <c r="F90" s="131"/>
      <c r="G90" s="132"/>
      <c r="H90" s="133"/>
      <c r="I90" s="112"/>
      <c r="J90" s="112"/>
      <c r="K90" s="112"/>
      <c r="L90" s="112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</row>
    <row r="91" ht="12.75" customHeight="1">
      <c r="A91" s="114"/>
      <c r="B91" s="114"/>
      <c r="C91" s="114"/>
      <c r="D91" s="114"/>
      <c r="E91" s="114"/>
      <c r="F91" s="131"/>
      <c r="G91" s="132"/>
      <c r="H91" s="133"/>
      <c r="I91" s="112"/>
      <c r="J91" s="112"/>
      <c r="K91" s="112"/>
      <c r="L91" s="112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</row>
    <row r="92" ht="12.75" customHeight="1">
      <c r="A92" s="114"/>
      <c r="B92" s="114"/>
      <c r="C92" s="114"/>
      <c r="D92" s="114"/>
      <c r="E92" s="114"/>
      <c r="F92" s="131"/>
      <c r="G92" s="132"/>
      <c r="H92" s="133"/>
      <c r="I92" s="112"/>
      <c r="J92" s="112"/>
      <c r="K92" s="112"/>
      <c r="L92" s="112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</row>
    <row r="93" ht="12.75" customHeight="1">
      <c r="A93" s="114"/>
      <c r="B93" s="114"/>
      <c r="C93" s="114"/>
      <c r="D93" s="114"/>
      <c r="E93" s="114"/>
      <c r="F93" s="131"/>
      <c r="G93" s="132"/>
      <c r="H93" s="133"/>
      <c r="I93" s="112"/>
      <c r="J93" s="112"/>
      <c r="K93" s="112"/>
      <c r="L93" s="112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</row>
    <row r="94" ht="12.75" customHeight="1">
      <c r="A94" s="114"/>
      <c r="B94" s="114"/>
      <c r="C94" s="114"/>
      <c r="D94" s="114"/>
      <c r="E94" s="114"/>
      <c r="F94" s="131"/>
      <c r="G94" s="132"/>
      <c r="H94" s="133"/>
      <c r="I94" s="112"/>
      <c r="J94" s="112"/>
      <c r="K94" s="112"/>
      <c r="L94" s="112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</row>
    <row r="95" ht="12.75" customHeight="1">
      <c r="A95" s="114"/>
      <c r="B95" s="114"/>
      <c r="C95" s="114"/>
      <c r="D95" s="114"/>
      <c r="E95" s="114"/>
      <c r="F95" s="131"/>
      <c r="G95" s="132"/>
      <c r="H95" s="133"/>
      <c r="I95" s="112"/>
      <c r="J95" s="112"/>
      <c r="K95" s="112"/>
      <c r="L95" s="112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</row>
    <row r="96" ht="12.75" customHeight="1">
      <c r="A96" s="114"/>
      <c r="B96" s="114"/>
      <c r="C96" s="114"/>
      <c r="D96" s="114"/>
      <c r="E96" s="114"/>
      <c r="F96" s="131"/>
      <c r="G96" s="132"/>
      <c r="H96" s="133"/>
      <c r="I96" s="112"/>
      <c r="J96" s="112"/>
      <c r="K96" s="112"/>
      <c r="L96" s="112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</row>
    <row r="97" ht="12.75" customHeight="1">
      <c r="A97" s="107"/>
      <c r="B97" s="107"/>
      <c r="C97" s="107"/>
      <c r="D97" s="107"/>
      <c r="E97" s="107"/>
      <c r="F97" s="134"/>
      <c r="G97" s="135"/>
      <c r="H97" s="136"/>
      <c r="I97" s="113"/>
      <c r="J97" s="113"/>
      <c r="K97" s="113"/>
      <c r="L97" s="113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</row>
    <row r="98" ht="12.75" customHeight="1">
      <c r="A98" s="114"/>
      <c r="B98" s="114"/>
      <c r="C98" s="114"/>
      <c r="D98" s="114"/>
      <c r="E98" s="114"/>
      <c r="F98" s="131"/>
      <c r="G98" s="132"/>
      <c r="H98" s="133"/>
      <c r="I98" s="112"/>
      <c r="J98" s="112"/>
      <c r="K98" s="112"/>
      <c r="L98" s="112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</row>
    <row r="99" ht="12.75" customHeight="1">
      <c r="A99" s="114"/>
      <c r="B99" s="114"/>
      <c r="C99" s="114"/>
      <c r="D99" s="114"/>
      <c r="E99" s="114"/>
      <c r="F99" s="131"/>
      <c r="G99" s="132"/>
      <c r="H99" s="133"/>
      <c r="I99" s="112"/>
      <c r="J99" s="112"/>
      <c r="K99" s="112"/>
      <c r="L99" s="112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</row>
    <row r="100" ht="12.75" customHeight="1">
      <c r="A100" s="114"/>
      <c r="B100" s="114"/>
      <c r="C100" s="114"/>
      <c r="D100" s="114"/>
      <c r="E100" s="114"/>
      <c r="F100" s="131"/>
      <c r="G100" s="132"/>
      <c r="H100" s="133"/>
      <c r="I100" s="112"/>
      <c r="J100" s="112"/>
      <c r="K100" s="112"/>
      <c r="L100" s="112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</row>
    <row r="101" ht="12.75" customHeight="1">
      <c r="A101" s="114"/>
      <c r="B101" s="114"/>
      <c r="C101" s="114"/>
      <c r="D101" s="114"/>
      <c r="E101" s="114"/>
      <c r="F101" s="131"/>
      <c r="G101" s="132"/>
      <c r="H101" s="133"/>
      <c r="I101" s="112"/>
      <c r="J101" s="112"/>
      <c r="K101" s="112"/>
      <c r="L101" s="112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</row>
    <row r="102" ht="12.75" customHeight="1">
      <c r="A102" s="114"/>
      <c r="B102" s="114"/>
      <c r="C102" s="114"/>
      <c r="D102" s="114"/>
      <c r="E102" s="114"/>
      <c r="F102" s="131"/>
      <c r="G102" s="132"/>
      <c r="H102" s="133"/>
      <c r="I102" s="112"/>
      <c r="J102" s="112"/>
      <c r="K102" s="112"/>
      <c r="L102" s="112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</row>
    <row r="103" ht="12.75" customHeight="1">
      <c r="A103" s="114"/>
      <c r="B103" s="114"/>
      <c r="C103" s="114"/>
      <c r="D103" s="114"/>
      <c r="E103" s="114"/>
      <c r="F103" s="131"/>
      <c r="G103" s="132"/>
      <c r="H103" s="133"/>
      <c r="I103" s="112"/>
      <c r="J103" s="112"/>
      <c r="K103" s="112"/>
      <c r="L103" s="112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</row>
    <row r="104" ht="12.75" customHeight="1">
      <c r="A104" s="114"/>
      <c r="B104" s="114"/>
      <c r="C104" s="114"/>
      <c r="D104" s="114"/>
      <c r="E104" s="114"/>
      <c r="F104" s="131"/>
      <c r="G104" s="132"/>
      <c r="H104" s="133"/>
      <c r="I104" s="112"/>
      <c r="J104" s="112"/>
      <c r="K104" s="112"/>
      <c r="L104" s="112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</row>
    <row r="105" ht="12.75" customHeight="1">
      <c r="A105" s="114"/>
      <c r="B105" s="114"/>
      <c r="C105" s="114"/>
      <c r="D105" s="114"/>
      <c r="E105" s="114"/>
      <c r="F105" s="131"/>
      <c r="G105" s="132"/>
      <c r="H105" s="133"/>
      <c r="I105" s="112"/>
      <c r="J105" s="112"/>
      <c r="K105" s="112"/>
      <c r="L105" s="112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</row>
    <row r="106" ht="12.75" customHeight="1">
      <c r="A106" s="107"/>
      <c r="B106" s="107"/>
      <c r="C106" s="107"/>
      <c r="D106" s="107"/>
      <c r="E106" s="107"/>
      <c r="F106" s="134"/>
      <c r="G106" s="135"/>
      <c r="H106" s="136"/>
      <c r="I106" s="113"/>
      <c r="J106" s="113"/>
      <c r="K106" s="113"/>
      <c r="L106" s="113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</row>
    <row r="107" ht="12.75" customHeight="1">
      <c r="A107" s="114"/>
      <c r="B107" s="114"/>
      <c r="C107" s="114"/>
      <c r="D107" s="114"/>
      <c r="E107" s="114"/>
      <c r="F107" s="131"/>
      <c r="G107" s="132"/>
      <c r="H107" s="133"/>
      <c r="I107" s="112"/>
      <c r="J107" s="112"/>
      <c r="K107" s="112"/>
      <c r="L107" s="112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</row>
    <row r="108" ht="12.75" customHeight="1">
      <c r="A108" s="114"/>
      <c r="B108" s="114"/>
      <c r="C108" s="114"/>
      <c r="D108" s="114"/>
      <c r="E108" s="114"/>
      <c r="F108" s="131"/>
      <c r="G108" s="132"/>
      <c r="H108" s="133"/>
      <c r="I108" s="112"/>
      <c r="J108" s="112"/>
      <c r="K108" s="112"/>
      <c r="L108" s="112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</row>
    <row r="109" ht="12.75" customHeight="1">
      <c r="A109" s="114"/>
      <c r="B109" s="114"/>
      <c r="C109" s="114"/>
      <c r="D109" s="114"/>
      <c r="E109" s="114"/>
      <c r="F109" s="131"/>
      <c r="G109" s="132"/>
      <c r="H109" s="133"/>
      <c r="I109" s="112"/>
      <c r="J109" s="112"/>
      <c r="K109" s="112"/>
      <c r="L109" s="112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</row>
    <row r="110" ht="12.75" customHeight="1">
      <c r="A110" s="114"/>
      <c r="B110" s="114"/>
      <c r="C110" s="114"/>
      <c r="D110" s="114"/>
      <c r="E110" s="114"/>
      <c r="F110" s="131"/>
      <c r="G110" s="132"/>
      <c r="H110" s="133"/>
      <c r="I110" s="112"/>
      <c r="J110" s="112"/>
      <c r="K110" s="112"/>
      <c r="L110" s="112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</row>
    <row r="111" ht="12.75" customHeight="1">
      <c r="A111" s="114"/>
      <c r="B111" s="114"/>
      <c r="C111" s="114"/>
      <c r="D111" s="114"/>
      <c r="E111" s="114"/>
      <c r="F111" s="131"/>
      <c r="G111" s="132"/>
      <c r="H111" s="133"/>
      <c r="I111" s="112"/>
      <c r="J111" s="112"/>
      <c r="K111" s="112"/>
      <c r="L111" s="112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</row>
    <row r="112" ht="12.75" customHeight="1">
      <c r="A112" s="114"/>
      <c r="B112" s="114"/>
      <c r="C112" s="114"/>
      <c r="D112" s="114"/>
      <c r="E112" s="114"/>
      <c r="F112" s="131"/>
      <c r="G112" s="132"/>
      <c r="H112" s="133"/>
      <c r="I112" s="112"/>
      <c r="J112" s="112"/>
      <c r="K112" s="112"/>
      <c r="L112" s="112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</row>
    <row r="113" ht="12.75" customHeight="1">
      <c r="A113" s="107"/>
      <c r="B113" s="107"/>
      <c r="C113" s="107"/>
      <c r="D113" s="107"/>
      <c r="E113" s="107"/>
      <c r="F113" s="134"/>
      <c r="G113" s="135"/>
      <c r="H113" s="136"/>
      <c r="I113" s="113"/>
      <c r="J113" s="113"/>
      <c r="K113" s="113"/>
      <c r="L113" s="113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</row>
    <row r="114" ht="12.75" customHeight="1">
      <c r="A114" s="114"/>
      <c r="B114" s="114"/>
      <c r="C114" s="114"/>
      <c r="D114" s="114"/>
      <c r="E114" s="114"/>
      <c r="F114" s="131"/>
      <c r="G114" s="132"/>
      <c r="H114" s="133"/>
      <c r="I114" s="112"/>
      <c r="J114" s="112"/>
      <c r="K114" s="112"/>
      <c r="L114" s="112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</row>
    <row r="115" ht="12.75" customHeight="1">
      <c r="A115" s="114"/>
      <c r="B115" s="114"/>
      <c r="C115" s="114"/>
      <c r="D115" s="114"/>
      <c r="E115" s="114"/>
      <c r="F115" s="131"/>
      <c r="G115" s="132"/>
      <c r="H115" s="133"/>
      <c r="I115" s="112"/>
      <c r="J115" s="112"/>
      <c r="K115" s="112"/>
      <c r="L115" s="112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</row>
    <row r="116" ht="12.75" customHeight="1">
      <c r="A116" s="114"/>
      <c r="B116" s="114"/>
      <c r="C116" s="114"/>
      <c r="D116" s="114"/>
      <c r="E116" s="114"/>
      <c r="F116" s="131"/>
      <c r="G116" s="132"/>
      <c r="H116" s="133"/>
      <c r="I116" s="112"/>
      <c r="J116" s="112"/>
      <c r="K116" s="112"/>
      <c r="L116" s="112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</row>
    <row r="117" ht="12.75" customHeight="1">
      <c r="A117" s="114"/>
      <c r="B117" s="114"/>
      <c r="C117" s="114"/>
      <c r="D117" s="114"/>
      <c r="E117" s="114"/>
      <c r="F117" s="131"/>
      <c r="G117" s="132"/>
      <c r="H117" s="133"/>
      <c r="I117" s="112"/>
      <c r="J117" s="112"/>
      <c r="K117" s="112"/>
      <c r="L117" s="112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</row>
    <row r="118" ht="12.75" customHeight="1">
      <c r="A118" s="114"/>
      <c r="B118" s="114"/>
      <c r="C118" s="114"/>
      <c r="D118" s="114"/>
      <c r="E118" s="114"/>
      <c r="F118" s="131"/>
      <c r="G118" s="132"/>
      <c r="H118" s="133"/>
      <c r="I118" s="112"/>
      <c r="J118" s="112"/>
      <c r="K118" s="112"/>
      <c r="L118" s="112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</row>
    <row r="119" ht="12.75" customHeight="1">
      <c r="A119" s="114"/>
      <c r="B119" s="114"/>
      <c r="C119" s="114"/>
      <c r="D119" s="114"/>
      <c r="E119" s="114"/>
      <c r="F119" s="131"/>
      <c r="G119" s="132"/>
      <c r="H119" s="133"/>
      <c r="I119" s="112"/>
      <c r="J119" s="112"/>
      <c r="K119" s="112"/>
      <c r="L119" s="112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</row>
    <row r="120" ht="12.75" customHeight="1">
      <c r="A120" s="114"/>
      <c r="B120" s="114"/>
      <c r="C120" s="114"/>
      <c r="D120" s="114"/>
      <c r="E120" s="114"/>
      <c r="F120" s="131"/>
      <c r="G120" s="132"/>
      <c r="H120" s="133"/>
      <c r="I120" s="112"/>
      <c r="J120" s="112"/>
      <c r="K120" s="112"/>
      <c r="L120" s="112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</row>
    <row r="121" ht="12.75" customHeight="1">
      <c r="A121" s="114"/>
      <c r="B121" s="114"/>
      <c r="C121" s="114"/>
      <c r="D121" s="114"/>
      <c r="E121" s="114"/>
      <c r="F121" s="131"/>
      <c r="G121" s="132"/>
      <c r="H121" s="133"/>
      <c r="I121" s="112"/>
      <c r="J121" s="112"/>
      <c r="K121" s="112"/>
      <c r="L121" s="112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</row>
    <row r="122" ht="12.75" customHeight="1">
      <c r="A122" s="107"/>
      <c r="B122" s="107"/>
      <c r="C122" s="107"/>
      <c r="D122" s="107"/>
      <c r="E122" s="107"/>
      <c r="F122" s="134"/>
      <c r="G122" s="135"/>
      <c r="H122" s="136"/>
      <c r="I122" s="113"/>
      <c r="J122" s="113"/>
      <c r="K122" s="113"/>
      <c r="L122" s="113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</row>
    <row r="123" ht="12.75" customHeight="1">
      <c r="A123" s="107"/>
      <c r="B123" s="107"/>
      <c r="C123" s="107"/>
      <c r="D123" s="107"/>
      <c r="E123" s="107"/>
      <c r="F123" s="134"/>
      <c r="G123" s="135"/>
      <c r="H123" s="136"/>
      <c r="I123" s="113"/>
      <c r="J123" s="113"/>
      <c r="K123" s="113"/>
      <c r="L123" s="113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</row>
    <row r="124" ht="12.75" customHeight="1">
      <c r="A124" s="114"/>
      <c r="B124" s="114"/>
      <c r="C124" s="114"/>
      <c r="D124" s="114"/>
      <c r="E124" s="114"/>
      <c r="F124" s="131"/>
      <c r="G124" s="132"/>
      <c r="H124" s="133"/>
      <c r="I124" s="112"/>
      <c r="J124" s="112"/>
      <c r="K124" s="112"/>
      <c r="L124" s="112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</row>
    <row r="125" ht="12.75" customHeight="1">
      <c r="A125" s="114"/>
      <c r="B125" s="114"/>
      <c r="C125" s="114"/>
      <c r="D125" s="114"/>
      <c r="E125" s="114"/>
      <c r="F125" s="131"/>
      <c r="G125" s="132"/>
      <c r="H125" s="133"/>
      <c r="I125" s="112"/>
      <c r="J125" s="112"/>
      <c r="K125" s="112"/>
      <c r="L125" s="112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</row>
    <row r="126" ht="12.75" customHeight="1">
      <c r="A126" s="114"/>
      <c r="B126" s="114"/>
      <c r="C126" s="114"/>
      <c r="D126" s="114"/>
      <c r="E126" s="114"/>
      <c r="F126" s="131"/>
      <c r="G126" s="132"/>
      <c r="H126" s="133"/>
      <c r="I126" s="112"/>
      <c r="J126" s="112"/>
      <c r="K126" s="112"/>
      <c r="L126" s="112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</row>
    <row r="127" ht="12.75" customHeight="1">
      <c r="A127" s="114"/>
      <c r="B127" s="114"/>
      <c r="C127" s="114"/>
      <c r="D127" s="114"/>
      <c r="E127" s="114"/>
      <c r="F127" s="131"/>
      <c r="G127" s="132"/>
      <c r="H127" s="133"/>
      <c r="I127" s="112"/>
      <c r="J127" s="112"/>
      <c r="K127" s="112"/>
      <c r="L127" s="112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</row>
    <row r="128" ht="12.75" customHeight="1">
      <c r="A128" s="114"/>
      <c r="B128" s="114"/>
      <c r="C128" s="114"/>
      <c r="D128" s="114"/>
      <c r="E128" s="114"/>
      <c r="F128" s="131"/>
      <c r="G128" s="132"/>
      <c r="H128" s="133"/>
      <c r="I128" s="112"/>
      <c r="J128" s="112"/>
      <c r="K128" s="112"/>
      <c r="L128" s="112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</row>
    <row r="129" ht="12.75" customHeight="1">
      <c r="A129" s="114"/>
      <c r="B129" s="114"/>
      <c r="C129" s="114"/>
      <c r="D129" s="114"/>
      <c r="E129" s="114"/>
      <c r="F129" s="131"/>
      <c r="G129" s="132"/>
      <c r="H129" s="133"/>
      <c r="I129" s="112"/>
      <c r="J129" s="112"/>
      <c r="K129" s="112"/>
      <c r="L129" s="112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</row>
    <row r="130" ht="12.75" customHeight="1">
      <c r="A130" s="114"/>
      <c r="B130" s="114"/>
      <c r="C130" s="114"/>
      <c r="D130" s="114"/>
      <c r="E130" s="114"/>
      <c r="F130" s="131"/>
      <c r="G130" s="132"/>
      <c r="H130" s="133"/>
      <c r="I130" s="112"/>
      <c r="J130" s="112"/>
      <c r="K130" s="112"/>
      <c r="L130" s="112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</row>
    <row r="131" ht="12.75" customHeight="1">
      <c r="A131" s="114"/>
      <c r="B131" s="114"/>
      <c r="C131" s="114"/>
      <c r="D131" s="114"/>
      <c r="E131" s="114"/>
      <c r="F131" s="131"/>
      <c r="G131" s="132"/>
      <c r="H131" s="133"/>
      <c r="I131" s="112"/>
      <c r="J131" s="112"/>
      <c r="K131" s="112"/>
      <c r="L131" s="112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</row>
    <row r="132" ht="12.75" customHeight="1">
      <c r="A132" s="114"/>
      <c r="B132" s="114"/>
      <c r="C132" s="114"/>
      <c r="D132" s="114"/>
      <c r="E132" s="114"/>
      <c r="F132" s="131"/>
      <c r="G132" s="132"/>
      <c r="H132" s="133"/>
      <c r="I132" s="112"/>
      <c r="J132" s="112"/>
      <c r="K132" s="112"/>
      <c r="L132" s="112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</row>
    <row r="133" ht="12.75" customHeight="1">
      <c r="A133" s="114"/>
      <c r="B133" s="114"/>
      <c r="C133" s="114"/>
      <c r="D133" s="114"/>
      <c r="E133" s="114"/>
      <c r="F133" s="131"/>
      <c r="G133" s="132"/>
      <c r="H133" s="133"/>
      <c r="I133" s="112"/>
      <c r="J133" s="112"/>
      <c r="K133" s="112"/>
      <c r="L133" s="112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</row>
    <row r="134" ht="12.75" customHeight="1">
      <c r="A134" s="107"/>
      <c r="B134" s="107"/>
      <c r="C134" s="107"/>
      <c r="D134" s="107"/>
      <c r="E134" s="107"/>
      <c r="F134" s="134"/>
      <c r="G134" s="135"/>
      <c r="H134" s="136"/>
      <c r="I134" s="113"/>
      <c r="J134" s="113"/>
      <c r="K134" s="113"/>
      <c r="L134" s="113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</row>
    <row r="135" ht="12.75" customHeight="1">
      <c r="A135" s="114"/>
      <c r="B135" s="114"/>
      <c r="C135" s="114"/>
      <c r="D135" s="114"/>
      <c r="E135" s="114"/>
      <c r="F135" s="131"/>
      <c r="G135" s="132"/>
      <c r="H135" s="133"/>
      <c r="I135" s="112"/>
      <c r="J135" s="112"/>
      <c r="K135" s="112"/>
      <c r="L135" s="112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</row>
    <row r="136" ht="12.75" customHeight="1">
      <c r="A136" s="114"/>
      <c r="B136" s="114"/>
      <c r="C136" s="114"/>
      <c r="D136" s="114"/>
      <c r="E136" s="114"/>
      <c r="F136" s="131"/>
      <c r="G136" s="132"/>
      <c r="H136" s="133"/>
      <c r="I136" s="112"/>
      <c r="J136" s="112"/>
      <c r="K136" s="112"/>
      <c r="L136" s="112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</row>
    <row r="137" ht="12.75" customHeight="1">
      <c r="A137" s="114"/>
      <c r="B137" s="114"/>
      <c r="C137" s="114"/>
      <c r="D137" s="114"/>
      <c r="E137" s="114"/>
      <c r="F137" s="131"/>
      <c r="G137" s="132"/>
      <c r="H137" s="133"/>
      <c r="I137" s="112"/>
      <c r="J137" s="112"/>
      <c r="K137" s="112"/>
      <c r="L137" s="112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</row>
    <row r="138" ht="12.75" customHeight="1">
      <c r="A138" s="114"/>
      <c r="B138" s="114"/>
      <c r="C138" s="114"/>
      <c r="D138" s="114"/>
      <c r="E138" s="114"/>
      <c r="F138" s="131"/>
      <c r="G138" s="132"/>
      <c r="H138" s="133"/>
      <c r="I138" s="112"/>
      <c r="J138" s="112"/>
      <c r="K138" s="112"/>
      <c r="L138" s="112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</row>
    <row r="139" ht="12.75" customHeight="1">
      <c r="A139" s="114"/>
      <c r="B139" s="114"/>
      <c r="C139" s="114"/>
      <c r="D139" s="114"/>
      <c r="E139" s="114"/>
      <c r="F139" s="131"/>
      <c r="G139" s="132"/>
      <c r="H139" s="133"/>
      <c r="I139" s="112"/>
      <c r="J139" s="112"/>
      <c r="K139" s="112"/>
      <c r="L139" s="112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</row>
    <row r="140" ht="12.75" customHeight="1">
      <c r="A140" s="114"/>
      <c r="B140" s="114"/>
      <c r="C140" s="114"/>
      <c r="D140" s="114"/>
      <c r="E140" s="114"/>
      <c r="F140" s="131"/>
      <c r="G140" s="132"/>
      <c r="H140" s="133"/>
      <c r="I140" s="112"/>
      <c r="J140" s="112"/>
      <c r="K140" s="112"/>
      <c r="L140" s="112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</row>
    <row r="141" ht="12.75" customHeight="1">
      <c r="A141" s="114"/>
      <c r="B141" s="114"/>
      <c r="C141" s="114"/>
      <c r="D141" s="114"/>
      <c r="E141" s="114"/>
      <c r="F141" s="131"/>
      <c r="G141" s="132"/>
      <c r="H141" s="133"/>
      <c r="I141" s="112"/>
      <c r="J141" s="112"/>
      <c r="K141" s="112"/>
      <c r="L141" s="112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</row>
    <row r="142" ht="12.75" customHeight="1">
      <c r="A142" s="114"/>
      <c r="B142" s="114"/>
      <c r="C142" s="114"/>
      <c r="D142" s="114"/>
      <c r="E142" s="114"/>
      <c r="F142" s="131"/>
      <c r="G142" s="132"/>
      <c r="H142" s="133"/>
      <c r="I142" s="112"/>
      <c r="J142" s="112"/>
      <c r="K142" s="112"/>
      <c r="L142" s="112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</row>
    <row r="143" ht="12.75" customHeight="1">
      <c r="A143" s="107"/>
      <c r="B143" s="107"/>
      <c r="C143" s="107"/>
      <c r="D143" s="107"/>
      <c r="E143" s="107"/>
      <c r="F143" s="134"/>
      <c r="G143" s="135"/>
      <c r="H143" s="136"/>
      <c r="I143" s="113"/>
      <c r="J143" s="113"/>
      <c r="K143" s="113"/>
      <c r="L143" s="113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</row>
    <row r="144" ht="12.75" customHeight="1">
      <c r="A144" s="114"/>
      <c r="B144" s="114"/>
      <c r="C144" s="114"/>
      <c r="D144" s="114"/>
      <c r="E144" s="114"/>
      <c r="F144" s="131"/>
      <c r="G144" s="132"/>
      <c r="H144" s="133"/>
      <c r="I144" s="112"/>
      <c r="J144" s="112"/>
      <c r="K144" s="112"/>
      <c r="L144" s="112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</row>
    <row r="145" ht="12.75" customHeight="1">
      <c r="A145" s="114"/>
      <c r="B145" s="114"/>
      <c r="C145" s="114"/>
      <c r="D145" s="114"/>
      <c r="E145" s="114"/>
      <c r="F145" s="131"/>
      <c r="G145" s="132"/>
      <c r="H145" s="133"/>
      <c r="I145" s="112"/>
      <c r="J145" s="112"/>
      <c r="K145" s="112"/>
      <c r="L145" s="112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</row>
    <row r="146" ht="12.75" customHeight="1">
      <c r="A146" s="114"/>
      <c r="B146" s="114"/>
      <c r="C146" s="114"/>
      <c r="D146" s="114"/>
      <c r="E146" s="114"/>
      <c r="F146" s="131"/>
      <c r="G146" s="132"/>
      <c r="H146" s="133"/>
      <c r="I146" s="112"/>
      <c r="J146" s="112"/>
      <c r="K146" s="112"/>
      <c r="L146" s="112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</row>
    <row r="147" ht="12.75" customHeight="1">
      <c r="A147" s="114"/>
      <c r="B147" s="114"/>
      <c r="C147" s="114"/>
      <c r="D147" s="114"/>
      <c r="E147" s="114"/>
      <c r="F147" s="131"/>
      <c r="G147" s="132"/>
      <c r="H147" s="133"/>
      <c r="I147" s="112"/>
      <c r="J147" s="112"/>
      <c r="K147" s="112"/>
      <c r="L147" s="112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</row>
    <row r="148" ht="12.75" customHeight="1">
      <c r="A148" s="114"/>
      <c r="B148" s="114"/>
      <c r="C148" s="114"/>
      <c r="D148" s="114"/>
      <c r="E148" s="114"/>
      <c r="F148" s="131"/>
      <c r="G148" s="132"/>
      <c r="H148" s="133"/>
      <c r="I148" s="112"/>
      <c r="J148" s="112"/>
      <c r="K148" s="112"/>
      <c r="L148" s="112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</row>
    <row r="149" ht="12.75" customHeight="1">
      <c r="A149" s="114"/>
      <c r="B149" s="114"/>
      <c r="C149" s="114"/>
      <c r="D149" s="114"/>
      <c r="E149" s="114"/>
      <c r="F149" s="131"/>
      <c r="G149" s="132"/>
      <c r="H149" s="133"/>
      <c r="I149" s="112"/>
      <c r="J149" s="112"/>
      <c r="K149" s="112"/>
      <c r="L149" s="112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</row>
    <row r="150" ht="12.75" customHeight="1">
      <c r="A150" s="107"/>
      <c r="B150" s="107"/>
      <c r="C150" s="107"/>
      <c r="D150" s="107"/>
      <c r="E150" s="107"/>
      <c r="F150" s="134"/>
      <c r="G150" s="135"/>
      <c r="H150" s="136"/>
      <c r="I150" s="113"/>
      <c r="J150" s="113"/>
      <c r="K150" s="113"/>
      <c r="L150" s="113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</row>
    <row r="151" ht="12.75" customHeight="1">
      <c r="A151" s="114"/>
      <c r="B151" s="114"/>
      <c r="C151" s="114"/>
      <c r="D151" s="114"/>
      <c r="E151" s="114"/>
      <c r="F151" s="131"/>
      <c r="G151" s="132"/>
      <c r="H151" s="133"/>
      <c r="I151" s="112"/>
      <c r="J151" s="112"/>
      <c r="K151" s="112"/>
      <c r="L151" s="112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</row>
    <row r="152" ht="12.75" customHeight="1">
      <c r="A152" s="114"/>
      <c r="B152" s="114"/>
      <c r="C152" s="114"/>
      <c r="D152" s="114"/>
      <c r="E152" s="114"/>
      <c r="F152" s="131"/>
      <c r="G152" s="132"/>
      <c r="H152" s="133"/>
      <c r="I152" s="112"/>
      <c r="J152" s="112"/>
      <c r="K152" s="112"/>
      <c r="L152" s="112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</row>
    <row r="153" ht="12.75" customHeight="1">
      <c r="A153" s="114"/>
      <c r="B153" s="114"/>
      <c r="C153" s="114"/>
      <c r="D153" s="114"/>
      <c r="E153" s="114"/>
      <c r="F153" s="131"/>
      <c r="G153" s="132"/>
      <c r="H153" s="133"/>
      <c r="I153" s="112"/>
      <c r="J153" s="112"/>
      <c r="K153" s="112"/>
      <c r="L153" s="112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</row>
    <row r="154" ht="12.75" customHeight="1">
      <c r="A154" s="114"/>
      <c r="B154" s="114"/>
      <c r="C154" s="114"/>
      <c r="D154" s="114"/>
      <c r="E154" s="114"/>
      <c r="F154" s="131"/>
      <c r="G154" s="132"/>
      <c r="H154" s="133"/>
      <c r="I154" s="112"/>
      <c r="J154" s="112"/>
      <c r="K154" s="112"/>
      <c r="L154" s="112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</row>
    <row r="155" ht="12.75" customHeight="1">
      <c r="A155" s="114"/>
      <c r="B155" s="114"/>
      <c r="C155" s="114"/>
      <c r="D155" s="114"/>
      <c r="E155" s="114"/>
      <c r="F155" s="131"/>
      <c r="G155" s="132"/>
      <c r="H155" s="133"/>
      <c r="I155" s="112"/>
      <c r="J155" s="112"/>
      <c r="K155" s="112"/>
      <c r="L155" s="112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</row>
    <row r="156" ht="12.75" customHeight="1">
      <c r="A156" s="114"/>
      <c r="B156" s="114"/>
      <c r="C156" s="114"/>
      <c r="D156" s="114"/>
      <c r="E156" s="114"/>
      <c r="F156" s="131"/>
      <c r="G156" s="132"/>
      <c r="H156" s="133"/>
      <c r="I156" s="112"/>
      <c r="J156" s="112"/>
      <c r="K156" s="112"/>
      <c r="L156" s="112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</row>
    <row r="157" ht="12.75" customHeight="1">
      <c r="A157" s="114"/>
      <c r="B157" s="114"/>
      <c r="C157" s="114"/>
      <c r="D157" s="114"/>
      <c r="E157" s="114"/>
      <c r="F157" s="131"/>
      <c r="G157" s="132"/>
      <c r="H157" s="133"/>
      <c r="I157" s="112"/>
      <c r="J157" s="112"/>
      <c r="K157" s="112"/>
      <c r="L157" s="112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</row>
    <row r="158" ht="12.75" customHeight="1">
      <c r="A158" s="114"/>
      <c r="B158" s="114"/>
      <c r="C158" s="114"/>
      <c r="D158" s="114"/>
      <c r="E158" s="114"/>
      <c r="F158" s="131"/>
      <c r="G158" s="132"/>
      <c r="H158" s="133"/>
      <c r="I158" s="112"/>
      <c r="J158" s="112"/>
      <c r="K158" s="112"/>
      <c r="L158" s="112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</row>
    <row r="159" ht="12.75" customHeight="1">
      <c r="A159" s="107"/>
      <c r="B159" s="107"/>
      <c r="C159" s="107"/>
      <c r="D159" s="107"/>
      <c r="E159" s="107"/>
      <c r="F159" s="134"/>
      <c r="G159" s="135"/>
      <c r="H159" s="136"/>
      <c r="I159" s="113"/>
      <c r="J159" s="113"/>
      <c r="K159" s="113"/>
      <c r="L159" s="113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</row>
    <row r="160" ht="12.75" customHeight="1">
      <c r="A160" s="107"/>
      <c r="B160" s="107"/>
      <c r="C160" s="107"/>
      <c r="D160" s="107"/>
      <c r="E160" s="107"/>
      <c r="F160" s="134"/>
      <c r="G160" s="135"/>
      <c r="H160" s="136"/>
      <c r="I160" s="113"/>
      <c r="J160" s="113"/>
      <c r="K160" s="113"/>
      <c r="L160" s="113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</row>
    <row r="161" ht="12.75" customHeight="1">
      <c r="A161" s="107"/>
      <c r="B161" s="107"/>
      <c r="C161" s="107"/>
      <c r="D161" s="107"/>
      <c r="E161" s="107"/>
      <c r="F161" s="134"/>
      <c r="G161" s="135"/>
      <c r="H161" s="136"/>
      <c r="I161" s="113"/>
      <c r="J161" s="113"/>
      <c r="K161" s="113"/>
      <c r="L161" s="113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</row>
    <row r="162" ht="12.75" customHeight="1">
      <c r="A162" s="137"/>
      <c r="B162" s="114"/>
      <c r="C162" s="114"/>
      <c r="D162" s="114"/>
      <c r="E162" s="138"/>
      <c r="F162" s="131"/>
      <c r="G162" s="132"/>
      <c r="H162" s="133"/>
      <c r="I162" s="112"/>
      <c r="J162" s="112"/>
      <c r="K162" s="112"/>
      <c r="L162" s="112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</row>
    <row r="163" ht="12.75" customHeight="1">
      <c r="A163" s="137"/>
      <c r="B163" s="114"/>
      <c r="C163" s="114"/>
      <c r="D163" s="114"/>
      <c r="E163" s="138"/>
      <c r="F163" s="131"/>
      <c r="G163" s="132"/>
      <c r="H163" s="133"/>
      <c r="I163" s="112"/>
      <c r="J163" s="112"/>
      <c r="K163" s="112"/>
      <c r="L163" s="112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</row>
    <row r="164" ht="12.75" customHeight="1">
      <c r="A164" s="137"/>
      <c r="B164" s="114"/>
      <c r="C164" s="114"/>
      <c r="D164" s="114"/>
      <c r="E164" s="138"/>
      <c r="F164" s="131"/>
      <c r="G164" s="132"/>
      <c r="H164" s="133"/>
      <c r="I164" s="112"/>
      <c r="J164" s="112"/>
      <c r="K164" s="112"/>
      <c r="L164" s="112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</row>
    <row r="165" ht="12.75" customHeight="1">
      <c r="A165" s="137"/>
      <c r="B165" s="114"/>
      <c r="C165" s="114"/>
      <c r="D165" s="114"/>
      <c r="E165" s="138"/>
      <c r="F165" s="131"/>
      <c r="G165" s="132"/>
      <c r="H165" s="133"/>
      <c r="I165" s="112"/>
      <c r="J165" s="112"/>
      <c r="K165" s="112"/>
      <c r="L165" s="112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</row>
    <row r="166" ht="12.75" customHeight="1">
      <c r="A166" s="137"/>
      <c r="B166" s="114"/>
      <c r="C166" s="114"/>
      <c r="D166" s="114"/>
      <c r="E166" s="138"/>
      <c r="F166" s="131"/>
      <c r="G166" s="132"/>
      <c r="H166" s="133"/>
      <c r="I166" s="112"/>
      <c r="J166" s="112"/>
      <c r="K166" s="112"/>
      <c r="L166" s="112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</row>
    <row r="167" ht="12.75" customHeight="1">
      <c r="A167" s="137"/>
      <c r="B167" s="114"/>
      <c r="C167" s="114"/>
      <c r="D167" s="114"/>
      <c r="E167" s="138"/>
      <c r="F167" s="131"/>
      <c r="G167" s="132"/>
      <c r="H167" s="133"/>
      <c r="I167" s="112"/>
      <c r="J167" s="112"/>
      <c r="K167" s="112"/>
      <c r="L167" s="112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</row>
    <row r="168" ht="12.75" customHeight="1">
      <c r="A168" s="137"/>
      <c r="B168" s="114"/>
      <c r="C168" s="114"/>
      <c r="D168" s="114"/>
      <c r="E168" s="138"/>
      <c r="F168" s="131"/>
      <c r="G168" s="132"/>
      <c r="H168" s="133"/>
      <c r="I168" s="112"/>
      <c r="J168" s="112"/>
      <c r="K168" s="112"/>
      <c r="L168" s="112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</row>
    <row r="169" ht="12.75" customHeight="1">
      <c r="A169" s="137"/>
      <c r="B169" s="114"/>
      <c r="C169" s="114"/>
      <c r="D169" s="114"/>
      <c r="E169" s="138"/>
      <c r="F169" s="131"/>
      <c r="G169" s="132"/>
      <c r="H169" s="133"/>
      <c r="I169" s="112"/>
      <c r="J169" s="112"/>
      <c r="K169" s="112"/>
      <c r="L169" s="112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</row>
    <row r="170" ht="12.75" customHeight="1">
      <c r="A170" s="137"/>
      <c r="B170" s="114"/>
      <c r="C170" s="114"/>
      <c r="D170" s="114"/>
      <c r="E170" s="138"/>
      <c r="F170" s="131"/>
      <c r="G170" s="132"/>
      <c r="H170" s="133"/>
      <c r="I170" s="112"/>
      <c r="J170" s="112"/>
      <c r="K170" s="112"/>
      <c r="L170" s="112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</row>
    <row r="171" ht="12.75" customHeight="1">
      <c r="A171" s="137"/>
      <c r="B171" s="114"/>
      <c r="C171" s="114"/>
      <c r="D171" s="114"/>
      <c r="E171" s="138"/>
      <c r="F171" s="131"/>
      <c r="G171" s="132"/>
      <c r="H171" s="133"/>
      <c r="I171" s="112"/>
      <c r="J171" s="112"/>
      <c r="K171" s="112"/>
      <c r="L171" s="112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</row>
    <row r="172" ht="12.75" customHeight="1">
      <c r="A172" s="137"/>
      <c r="B172" s="114"/>
      <c r="C172" s="114"/>
      <c r="D172" s="114"/>
      <c r="E172" s="138"/>
      <c r="F172" s="131"/>
      <c r="G172" s="132"/>
      <c r="H172" s="133"/>
      <c r="I172" s="112"/>
      <c r="J172" s="112"/>
      <c r="K172" s="112"/>
      <c r="L172" s="112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</row>
    <row r="173" ht="12.75" customHeight="1">
      <c r="A173" s="137"/>
      <c r="B173" s="114"/>
      <c r="C173" s="114"/>
      <c r="D173" s="114"/>
      <c r="E173" s="138"/>
      <c r="F173" s="131"/>
      <c r="G173" s="132"/>
      <c r="H173" s="133"/>
      <c r="I173" s="112"/>
      <c r="J173" s="112"/>
      <c r="K173" s="112"/>
      <c r="L173" s="112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</row>
    <row r="174" ht="12.75" customHeight="1">
      <c r="A174" s="137"/>
      <c r="B174" s="114"/>
      <c r="C174" s="114"/>
      <c r="D174" s="114"/>
      <c r="E174" s="138"/>
      <c r="F174" s="131"/>
      <c r="G174" s="132"/>
      <c r="H174" s="133"/>
      <c r="I174" s="112"/>
      <c r="J174" s="112"/>
      <c r="K174" s="112"/>
      <c r="L174" s="112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</row>
    <row r="175" ht="12.75" customHeight="1">
      <c r="A175" s="137"/>
      <c r="B175" s="114"/>
      <c r="C175" s="114"/>
      <c r="D175" s="114"/>
      <c r="E175" s="138"/>
      <c r="F175" s="131"/>
      <c r="G175" s="132"/>
      <c r="H175" s="133"/>
      <c r="I175" s="112"/>
      <c r="J175" s="112"/>
      <c r="K175" s="112"/>
      <c r="L175" s="112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</row>
    <row r="176" ht="12.75" customHeight="1">
      <c r="A176" s="137"/>
      <c r="B176" s="114"/>
      <c r="C176" s="114"/>
      <c r="D176" s="114"/>
      <c r="E176" s="138"/>
      <c r="F176" s="131"/>
      <c r="G176" s="132"/>
      <c r="H176" s="133"/>
      <c r="I176" s="112"/>
      <c r="J176" s="112"/>
      <c r="K176" s="112"/>
      <c r="L176" s="112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</row>
    <row r="177" ht="12.75" customHeight="1">
      <c r="A177" s="137"/>
      <c r="B177" s="114"/>
      <c r="C177" s="114"/>
      <c r="D177" s="114"/>
      <c r="E177" s="138"/>
      <c r="F177" s="131"/>
      <c r="G177" s="132"/>
      <c r="H177" s="133"/>
      <c r="I177" s="112"/>
      <c r="J177" s="112"/>
      <c r="K177" s="112"/>
      <c r="L177" s="112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</row>
    <row r="178" ht="12.75" customHeight="1">
      <c r="A178" s="137"/>
      <c r="B178" s="114"/>
      <c r="C178" s="114"/>
      <c r="D178" s="114"/>
      <c r="E178" s="138"/>
      <c r="F178" s="131"/>
      <c r="G178" s="132"/>
      <c r="H178" s="133"/>
      <c r="I178" s="112"/>
      <c r="J178" s="112"/>
      <c r="K178" s="112"/>
      <c r="L178" s="112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</row>
    <row r="179" ht="12.75" customHeight="1">
      <c r="A179" s="137"/>
      <c r="B179" s="114"/>
      <c r="C179" s="114"/>
      <c r="D179" s="114"/>
      <c r="E179" s="138"/>
      <c r="F179" s="131"/>
      <c r="G179" s="132"/>
      <c r="H179" s="133"/>
      <c r="I179" s="112"/>
      <c r="J179" s="112"/>
      <c r="K179" s="112"/>
      <c r="L179" s="112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</row>
    <row r="180" ht="12.75" customHeight="1">
      <c r="A180" s="137"/>
      <c r="B180" s="114"/>
      <c r="C180" s="114"/>
      <c r="D180" s="114"/>
      <c r="E180" s="138"/>
      <c r="F180" s="131"/>
      <c r="G180" s="132"/>
      <c r="H180" s="133"/>
      <c r="I180" s="112"/>
      <c r="J180" s="112"/>
      <c r="K180" s="112"/>
      <c r="L180" s="112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</row>
    <row r="181" ht="12.75" customHeight="1">
      <c r="A181" s="137"/>
      <c r="B181" s="114"/>
      <c r="C181" s="114"/>
      <c r="D181" s="114"/>
      <c r="E181" s="138"/>
      <c r="F181" s="131"/>
      <c r="G181" s="132"/>
      <c r="H181" s="133"/>
      <c r="I181" s="112"/>
      <c r="J181" s="112"/>
      <c r="K181" s="112"/>
      <c r="L181" s="112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</row>
    <row r="182" ht="12.75" customHeight="1">
      <c r="A182" s="137"/>
      <c r="B182" s="114"/>
      <c r="C182" s="114"/>
      <c r="D182" s="114"/>
      <c r="E182" s="138"/>
      <c r="F182" s="131"/>
      <c r="G182" s="132"/>
      <c r="H182" s="133"/>
      <c r="I182" s="112"/>
      <c r="J182" s="112"/>
      <c r="K182" s="112"/>
      <c r="L182" s="112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</row>
    <row r="183" ht="12.75" customHeight="1">
      <c r="A183" s="137"/>
      <c r="B183" s="114"/>
      <c r="C183" s="114"/>
      <c r="D183" s="114"/>
      <c r="E183" s="138"/>
      <c r="F183" s="131"/>
      <c r="G183" s="132"/>
      <c r="H183" s="133"/>
      <c r="I183" s="112"/>
      <c r="J183" s="112"/>
      <c r="K183" s="112"/>
      <c r="L183" s="112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</row>
    <row r="184" ht="12.75" customHeight="1">
      <c r="A184" s="137"/>
      <c r="B184" s="114"/>
      <c r="C184" s="114"/>
      <c r="D184" s="114"/>
      <c r="E184" s="138"/>
      <c r="F184" s="131"/>
      <c r="G184" s="132"/>
      <c r="H184" s="133"/>
      <c r="I184" s="112"/>
      <c r="J184" s="112"/>
      <c r="K184" s="112"/>
      <c r="L184" s="112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</row>
    <row r="185" ht="12.75" customHeight="1">
      <c r="A185" s="137"/>
      <c r="B185" s="114"/>
      <c r="C185" s="114"/>
      <c r="D185" s="114"/>
      <c r="E185" s="138"/>
      <c r="F185" s="131"/>
      <c r="G185" s="132"/>
      <c r="H185" s="133"/>
      <c r="I185" s="112"/>
      <c r="J185" s="112"/>
      <c r="K185" s="112"/>
      <c r="L185" s="112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</row>
    <row r="186" ht="12.75" customHeight="1">
      <c r="A186" s="137"/>
      <c r="B186" s="114"/>
      <c r="C186" s="114"/>
      <c r="D186" s="114"/>
      <c r="E186" s="138"/>
      <c r="F186" s="131"/>
      <c r="G186" s="132"/>
      <c r="H186" s="133"/>
      <c r="I186" s="112"/>
      <c r="J186" s="112"/>
      <c r="K186" s="112"/>
      <c r="L186" s="112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</row>
    <row r="187" ht="12.75" customHeight="1">
      <c r="A187" s="137"/>
      <c r="B187" s="114"/>
      <c r="C187" s="114"/>
      <c r="D187" s="114"/>
      <c r="E187" s="138"/>
      <c r="F187" s="131"/>
      <c r="G187" s="132"/>
      <c r="H187" s="133"/>
      <c r="I187" s="112"/>
      <c r="J187" s="112"/>
      <c r="K187" s="112"/>
      <c r="L187" s="112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</row>
    <row r="188" ht="12.75" customHeight="1">
      <c r="A188" s="137"/>
      <c r="B188" s="114"/>
      <c r="C188" s="114"/>
      <c r="D188" s="114"/>
      <c r="E188" s="138"/>
      <c r="F188" s="131"/>
      <c r="G188" s="132"/>
      <c r="H188" s="133"/>
      <c r="I188" s="112"/>
      <c r="J188" s="112"/>
      <c r="K188" s="112"/>
      <c r="L188" s="112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</row>
    <row r="189" ht="12.75" customHeight="1">
      <c r="A189" s="137"/>
      <c r="B189" s="114"/>
      <c r="C189" s="114"/>
      <c r="D189" s="114"/>
      <c r="E189" s="138"/>
      <c r="F189" s="131"/>
      <c r="G189" s="132"/>
      <c r="H189" s="133"/>
      <c r="I189" s="112"/>
      <c r="J189" s="112"/>
      <c r="K189" s="112"/>
      <c r="L189" s="112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</row>
    <row r="190" ht="12.75" customHeight="1">
      <c r="A190" s="137"/>
      <c r="B190" s="114"/>
      <c r="C190" s="114"/>
      <c r="D190" s="114"/>
      <c r="E190" s="138"/>
      <c r="F190" s="131"/>
      <c r="G190" s="132"/>
      <c r="H190" s="133"/>
      <c r="I190" s="112"/>
      <c r="J190" s="112"/>
      <c r="K190" s="112"/>
      <c r="L190" s="112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</row>
    <row r="191" ht="12.75" customHeight="1">
      <c r="A191" s="137"/>
      <c r="B191" s="114"/>
      <c r="C191" s="114"/>
      <c r="D191" s="114"/>
      <c r="E191" s="138"/>
      <c r="F191" s="131"/>
      <c r="G191" s="132"/>
      <c r="H191" s="133"/>
      <c r="I191" s="112"/>
      <c r="J191" s="112"/>
      <c r="K191" s="112"/>
      <c r="L191" s="112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</row>
    <row r="192" ht="12.75" customHeight="1">
      <c r="A192" s="137"/>
      <c r="B192" s="114"/>
      <c r="C192" s="114"/>
      <c r="D192" s="114"/>
      <c r="E192" s="138"/>
      <c r="F192" s="131"/>
      <c r="G192" s="132"/>
      <c r="H192" s="133"/>
      <c r="I192" s="112"/>
      <c r="J192" s="112"/>
      <c r="K192" s="112"/>
      <c r="L192" s="112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</row>
    <row r="193" ht="12.75" customHeight="1">
      <c r="A193" s="137"/>
      <c r="B193" s="114"/>
      <c r="C193" s="114"/>
      <c r="D193" s="114"/>
      <c r="E193" s="138"/>
      <c r="F193" s="131"/>
      <c r="G193" s="132"/>
      <c r="H193" s="133"/>
      <c r="I193" s="112"/>
      <c r="J193" s="112"/>
      <c r="K193" s="112"/>
      <c r="L193" s="112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</row>
    <row r="194" ht="12.75" customHeight="1">
      <c r="A194" s="137"/>
      <c r="B194" s="114"/>
      <c r="C194" s="114"/>
      <c r="D194" s="114"/>
      <c r="E194" s="138"/>
      <c r="F194" s="131"/>
      <c r="G194" s="132"/>
      <c r="H194" s="133"/>
      <c r="I194" s="112"/>
      <c r="J194" s="112"/>
      <c r="K194" s="112"/>
      <c r="L194" s="112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</row>
    <row r="195" ht="12.75" customHeight="1">
      <c r="A195" s="137"/>
      <c r="B195" s="114"/>
      <c r="C195" s="114"/>
      <c r="D195" s="114"/>
      <c r="E195" s="138"/>
      <c r="F195" s="131"/>
      <c r="G195" s="132"/>
      <c r="H195" s="133"/>
      <c r="I195" s="112"/>
      <c r="J195" s="112"/>
      <c r="K195" s="112"/>
      <c r="L195" s="112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</row>
    <row r="196" ht="12.75" customHeight="1">
      <c r="A196" s="137"/>
      <c r="B196" s="114"/>
      <c r="C196" s="114"/>
      <c r="D196" s="114"/>
      <c r="E196" s="138"/>
      <c r="F196" s="131"/>
      <c r="G196" s="132"/>
      <c r="H196" s="133"/>
      <c r="I196" s="112"/>
      <c r="J196" s="112"/>
      <c r="K196" s="112"/>
      <c r="L196" s="112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</row>
    <row r="197" ht="12.75" customHeight="1">
      <c r="A197" s="137"/>
      <c r="B197" s="114"/>
      <c r="C197" s="114"/>
      <c r="D197" s="114"/>
      <c r="E197" s="138"/>
      <c r="F197" s="131"/>
      <c r="G197" s="132"/>
      <c r="H197" s="133"/>
      <c r="I197" s="112"/>
      <c r="J197" s="112"/>
      <c r="K197" s="112"/>
      <c r="L197" s="112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</row>
    <row r="198" ht="12.75" customHeight="1">
      <c r="A198" s="137"/>
      <c r="B198" s="114"/>
      <c r="C198" s="114"/>
      <c r="D198" s="114"/>
      <c r="E198" s="138"/>
      <c r="F198" s="131"/>
      <c r="G198" s="132"/>
      <c r="H198" s="133"/>
      <c r="I198" s="112"/>
      <c r="J198" s="112"/>
      <c r="K198" s="112"/>
      <c r="L198" s="112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</row>
    <row r="199" ht="12.75" customHeight="1">
      <c r="A199" s="137"/>
      <c r="B199" s="114"/>
      <c r="C199" s="114"/>
      <c r="D199" s="114"/>
      <c r="E199" s="138"/>
      <c r="F199" s="131"/>
      <c r="G199" s="132"/>
      <c r="H199" s="133"/>
      <c r="I199" s="112"/>
      <c r="J199" s="112"/>
      <c r="K199" s="112"/>
      <c r="L199" s="112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</row>
    <row r="200" ht="12.75" customHeight="1">
      <c r="A200" s="137"/>
      <c r="B200" s="114"/>
      <c r="C200" s="114"/>
      <c r="D200" s="114"/>
      <c r="E200" s="138"/>
      <c r="F200" s="131"/>
      <c r="G200" s="132"/>
      <c r="H200" s="133"/>
      <c r="I200" s="112"/>
      <c r="J200" s="112"/>
      <c r="K200" s="112"/>
      <c r="L200" s="112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</row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2.38"/>
    <col customWidth="1" min="2" max="2" width="13.25"/>
    <col customWidth="1" min="3" max="3" width="25.0"/>
    <col customWidth="1" min="4" max="4" width="10.25"/>
    <col customWidth="1" min="5" max="5" width="6.0"/>
    <col customWidth="1" min="6" max="6" width="10.88"/>
    <col customWidth="1" min="7" max="7" width="14.25"/>
    <col customWidth="1" min="8" max="8" width="23.38"/>
    <col customWidth="1" min="9" max="9" width="17.25"/>
    <col customWidth="1" min="10" max="10" width="12.0"/>
    <col customWidth="1" min="11" max="11" width="11.75"/>
    <col customWidth="1" min="12" max="12" width="11.25"/>
    <col customWidth="1" min="13" max="26" width="8.88"/>
  </cols>
  <sheetData>
    <row r="1" ht="12.75" customHeight="1">
      <c r="A1" s="74" t="s">
        <v>206</v>
      </c>
      <c r="B1" s="75" t="s">
        <v>20</v>
      </c>
      <c r="C1" s="76" t="str">
        <f>'Landscape Intallation'!C1</f>
        <v/>
      </c>
      <c r="D1" s="77"/>
      <c r="E1" s="77"/>
      <c r="F1" s="78" t="s">
        <v>18</v>
      </c>
      <c r="G1" s="79" t="str">
        <f>'Landscape Intallation'!G1</f>
        <v/>
      </c>
      <c r="H1" s="77"/>
      <c r="I1" s="77"/>
      <c r="J1" s="77"/>
      <c r="K1" s="77"/>
      <c r="L1" s="77"/>
      <c r="M1" s="77"/>
      <c r="N1" s="4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12.75" customHeight="1">
      <c r="A2" s="77"/>
      <c r="B2" s="75" t="s">
        <v>22</v>
      </c>
      <c r="C2" s="76" t="str">
        <f>'Landscape Intallation'!C2</f>
        <v/>
      </c>
      <c r="D2" s="77"/>
      <c r="E2" s="77"/>
      <c r="F2" s="78" t="s">
        <v>32</v>
      </c>
      <c r="G2" s="76" t="str">
        <f>'Landscape Intallation'!G2</f>
        <v>Hayden Lutz, Rob McKenna, John Dickinson</v>
      </c>
      <c r="H2" s="77"/>
      <c r="I2" s="81" t="s">
        <v>89</v>
      </c>
      <c r="J2" s="82">
        <f>$G$5*(1+$G$6+$G$7)</f>
        <v>28.06</v>
      </c>
      <c r="K2" s="77"/>
      <c r="L2" s="77"/>
      <c r="M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2.75" customHeight="1">
      <c r="A3" s="77"/>
      <c r="B3" s="75" t="s">
        <v>24</v>
      </c>
      <c r="C3" s="76" t="str">
        <f>'Landscape Intallation'!C3</f>
        <v/>
      </c>
      <c r="D3" s="77"/>
      <c r="E3" s="77"/>
      <c r="F3" s="78" t="s">
        <v>90</v>
      </c>
      <c r="G3" s="83">
        <f>'Landscape Intallation'!G3</f>
        <v>6</v>
      </c>
      <c r="H3" s="77"/>
      <c r="I3" s="77"/>
      <c r="J3" s="77"/>
      <c r="K3" s="77"/>
      <c r="L3" s="77"/>
      <c r="M3" s="77"/>
      <c r="N3" s="14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12.75" customHeight="1">
      <c r="A4" s="77"/>
      <c r="B4" s="75" t="s">
        <v>26</v>
      </c>
      <c r="C4" s="76" t="str">
        <f>'Landscape Intallation'!C4</f>
        <v/>
      </c>
      <c r="D4" s="77"/>
      <c r="E4" s="77"/>
      <c r="F4" s="78" t="s">
        <v>91</v>
      </c>
      <c r="G4" s="83">
        <f>'Landscape Intallation'!G4</f>
        <v>10</v>
      </c>
      <c r="H4" s="77"/>
      <c r="I4" s="77"/>
      <c r="J4" s="77"/>
      <c r="K4" s="77"/>
      <c r="L4" s="77"/>
      <c r="M4" s="77"/>
      <c r="N4" s="14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77"/>
      <c r="B5" s="75" t="s">
        <v>28</v>
      </c>
      <c r="C5" s="79" t="str">
        <f>'Landscape Intallation'!C5</f>
        <v/>
      </c>
      <c r="D5" s="77"/>
      <c r="E5" s="77"/>
      <c r="F5" s="78" t="s">
        <v>92</v>
      </c>
      <c r="G5" s="85">
        <f>'Landscape Intallation'!G5</f>
        <v>23</v>
      </c>
      <c r="H5" s="77"/>
      <c r="I5" s="86" t="s">
        <v>207</v>
      </c>
      <c r="J5" s="87" t="s">
        <v>94</v>
      </c>
      <c r="K5" s="88" t="s">
        <v>95</v>
      </c>
      <c r="L5" s="77"/>
      <c r="M5" s="77"/>
      <c r="N5" s="14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77"/>
      <c r="B6" s="75" t="s">
        <v>96</v>
      </c>
      <c r="C6" s="148" t="s">
        <v>208</v>
      </c>
      <c r="D6" s="77"/>
      <c r="E6" s="77"/>
      <c r="F6" s="78" t="s">
        <v>97</v>
      </c>
      <c r="G6" s="90">
        <f>'Landscape Intallation'!G6</f>
        <v>0.12</v>
      </c>
      <c r="H6" s="77"/>
      <c r="I6" s="91" t="s">
        <v>98</v>
      </c>
      <c r="J6" s="92">
        <f>DSUM(F9:G1000,F9,K5:K6)</f>
        <v>127</v>
      </c>
      <c r="K6" s="93" t="s">
        <v>99</v>
      </c>
      <c r="L6" s="77"/>
      <c r="M6" s="77"/>
      <c r="N6" s="14"/>
      <c r="O6" s="1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77"/>
      <c r="B7" s="75"/>
      <c r="C7" s="78"/>
      <c r="D7" s="77"/>
      <c r="E7" s="77"/>
      <c r="F7" s="78" t="s">
        <v>100</v>
      </c>
      <c r="G7" s="90">
        <f>'Landscape Intallation'!G7</f>
        <v>0.1</v>
      </c>
      <c r="H7" s="77"/>
      <c r="I7" s="77"/>
      <c r="J7" s="77"/>
      <c r="K7" s="77"/>
      <c r="L7" s="77"/>
      <c r="M7" s="77"/>
      <c r="N7" s="14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77"/>
      <c r="B8" s="75"/>
      <c r="C8" s="78"/>
      <c r="D8" s="77"/>
      <c r="E8" s="77"/>
      <c r="F8" s="149" t="s">
        <v>101</v>
      </c>
      <c r="G8" s="114"/>
      <c r="H8" s="97"/>
      <c r="I8" s="133" t="str">
        <f>F8*H8</f>
        <v>#VALUE!</v>
      </c>
      <c r="J8" s="133" t="str">
        <f>F8*H8</f>
        <v>#VALUE!</v>
      </c>
      <c r="K8" s="133" t="str">
        <f>F8*H8</f>
        <v>#VALUE!</v>
      </c>
      <c r="L8" s="133" t="str">
        <f>F8*H8</f>
        <v>#VALUE!</v>
      </c>
      <c r="M8" s="77"/>
      <c r="N8" s="14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78" t="s">
        <v>102</v>
      </c>
      <c r="B9" s="78" t="s">
        <v>103</v>
      </c>
      <c r="C9" s="78"/>
      <c r="D9" s="78"/>
      <c r="E9" s="78"/>
      <c r="F9" s="99" t="s">
        <v>94</v>
      </c>
      <c r="G9" s="100" t="s">
        <v>95</v>
      </c>
      <c r="H9" s="99" t="s">
        <v>104</v>
      </c>
      <c r="I9" s="99" t="s">
        <v>105</v>
      </c>
      <c r="J9" s="99" t="s">
        <v>36</v>
      </c>
      <c r="K9" s="99" t="s">
        <v>106</v>
      </c>
      <c r="L9" s="99" t="s">
        <v>107</v>
      </c>
      <c r="M9" s="77"/>
      <c r="N9" s="14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8.0" customHeight="1">
      <c r="A10" s="101"/>
      <c r="B10" s="102" t="s">
        <v>108</v>
      </c>
      <c r="C10" s="102"/>
      <c r="D10" s="103"/>
      <c r="E10" s="102" t="s">
        <v>209</v>
      </c>
      <c r="F10" s="104"/>
      <c r="G10" s="105"/>
      <c r="H10" s="104"/>
      <c r="I10" s="150">
        <f t="shared" ref="I10:L10" si="1">SUM(I11:I1000)</f>
        <v>40</v>
      </c>
      <c r="J10" s="150">
        <f t="shared" si="1"/>
        <v>3225</v>
      </c>
      <c r="K10" s="150">
        <f t="shared" si="1"/>
        <v>1140</v>
      </c>
      <c r="L10" s="150">
        <f t="shared" si="1"/>
        <v>0</v>
      </c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8.0" customHeight="1">
      <c r="A11" s="107"/>
      <c r="B11" s="109" t="s">
        <v>210</v>
      </c>
      <c r="C11" s="109"/>
      <c r="D11" s="109"/>
      <c r="E11" s="109">
        <v>1.0</v>
      </c>
      <c r="F11" s="151">
        <f>E11*'1. Setup &amp; Recap'!$G$15</f>
        <v>9</v>
      </c>
      <c r="G11" s="118" t="s">
        <v>99</v>
      </c>
      <c r="H11" s="123">
        <v>45.0</v>
      </c>
      <c r="I11" s="130"/>
      <c r="J11" s="121">
        <f>F11*H11</f>
        <v>405</v>
      </c>
      <c r="K11" s="130"/>
      <c r="L11" s="136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8.0" customHeight="1">
      <c r="A12" s="114"/>
      <c r="B12" s="116" t="s">
        <v>211</v>
      </c>
      <c r="C12" s="116"/>
      <c r="D12" s="116"/>
      <c r="E12" s="116">
        <v>1.0</v>
      </c>
      <c r="F12" s="151">
        <f>E12*'1. Setup &amp; Recap'!$G$15</f>
        <v>9</v>
      </c>
      <c r="G12" s="125" t="s">
        <v>212</v>
      </c>
      <c r="H12" s="123">
        <v>45.0</v>
      </c>
      <c r="I12" s="121"/>
      <c r="J12" s="121"/>
      <c r="K12" s="121">
        <f>F12*H12</f>
        <v>405</v>
      </c>
      <c r="L12" s="133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8.0" customHeight="1">
      <c r="A13" s="114"/>
      <c r="B13" s="116" t="s">
        <v>213</v>
      </c>
      <c r="C13" s="116"/>
      <c r="D13" s="116"/>
      <c r="E13" s="116">
        <v>1.0</v>
      </c>
      <c r="F13" s="151">
        <f>E13*'1. Setup &amp; Recap'!$G$15</f>
        <v>9</v>
      </c>
      <c r="G13" s="125" t="s">
        <v>99</v>
      </c>
      <c r="H13" s="123">
        <v>35.0</v>
      </c>
      <c r="I13" s="121"/>
      <c r="J13" s="121">
        <f>F13*H13</f>
        <v>315</v>
      </c>
      <c r="K13" s="121"/>
      <c r="L13" s="133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8.0" customHeight="1">
      <c r="A14" s="114"/>
      <c r="B14" s="116" t="s">
        <v>214</v>
      </c>
      <c r="C14" s="116"/>
      <c r="D14" s="116"/>
      <c r="E14" s="116">
        <v>8.0</v>
      </c>
      <c r="F14" s="118">
        <f>E14*'1. Setup &amp; Recap'!$G$15</f>
        <v>72</v>
      </c>
      <c r="G14" s="125" t="s">
        <v>212</v>
      </c>
      <c r="H14" s="123">
        <v>10.0</v>
      </c>
      <c r="I14" s="121"/>
      <c r="J14" s="121"/>
      <c r="K14" s="121">
        <f>F14*H14</f>
        <v>720</v>
      </c>
      <c r="L14" s="133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8.0" customHeight="1">
      <c r="A15" s="114"/>
      <c r="B15" s="116" t="s">
        <v>215</v>
      </c>
      <c r="C15" s="116"/>
      <c r="D15" s="116"/>
      <c r="E15" s="116">
        <v>1.0</v>
      </c>
      <c r="F15" s="151">
        <f>'1. Setup &amp; Recap'!G3*E15*'1. Setup &amp; Recap'!$G$15</f>
        <v>54</v>
      </c>
      <c r="G15" s="125" t="s">
        <v>99</v>
      </c>
      <c r="H15" s="123">
        <v>23.0</v>
      </c>
      <c r="I15" s="121"/>
      <c r="J15" s="121">
        <f t="shared" ref="J15:J16" si="2">F15*H15</f>
        <v>1242</v>
      </c>
      <c r="K15" s="121"/>
      <c r="L15" s="133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8.0" customHeight="1">
      <c r="A16" s="114"/>
      <c r="B16" s="116" t="s">
        <v>216</v>
      </c>
      <c r="C16" s="116"/>
      <c r="D16" s="116"/>
      <c r="E16" s="116">
        <v>1.0</v>
      </c>
      <c r="F16" s="151">
        <f>'1. Setup &amp; Recap'!G3*E16*'1. Setup &amp; Recap'!$G$15</f>
        <v>54</v>
      </c>
      <c r="G16" s="125" t="s">
        <v>99</v>
      </c>
      <c r="H16" s="123">
        <v>23.0</v>
      </c>
      <c r="I16" s="121"/>
      <c r="J16" s="121">
        <f t="shared" si="2"/>
        <v>1242</v>
      </c>
      <c r="K16" s="121"/>
      <c r="L16" s="133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8.0" customHeight="1">
      <c r="A17" s="114"/>
      <c r="B17" s="116" t="s">
        <v>217</v>
      </c>
      <c r="C17" s="116"/>
      <c r="D17" s="116"/>
      <c r="E17" s="116" t="s">
        <v>218</v>
      </c>
      <c r="F17" s="151">
        <v>1.0</v>
      </c>
      <c r="G17" s="125" t="s">
        <v>31</v>
      </c>
      <c r="H17" s="123">
        <v>40.0</v>
      </c>
      <c r="I17" s="121">
        <f>F17*H17</f>
        <v>40</v>
      </c>
      <c r="J17" s="121"/>
      <c r="K17" s="121"/>
      <c r="L17" s="133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8.0" customHeight="1">
      <c r="A18" s="114"/>
      <c r="B18" s="116" t="s">
        <v>219</v>
      </c>
      <c r="C18" s="116"/>
      <c r="D18" s="116"/>
      <c r="E18" s="116" t="s">
        <v>218</v>
      </c>
      <c r="F18" s="151">
        <v>1.0</v>
      </c>
      <c r="G18" s="125" t="s">
        <v>99</v>
      </c>
      <c r="H18" s="123">
        <v>21.0</v>
      </c>
      <c r="I18" s="121"/>
      <c r="J18" s="121">
        <f>F18*H18</f>
        <v>21</v>
      </c>
      <c r="K18" s="121"/>
      <c r="L18" s="133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8.0" customHeight="1">
      <c r="A19" s="114"/>
      <c r="B19" s="116" t="s">
        <v>220</v>
      </c>
      <c r="C19" s="116"/>
      <c r="D19" s="116"/>
      <c r="E19" s="116" t="s">
        <v>218</v>
      </c>
      <c r="F19" s="151">
        <v>1.0</v>
      </c>
      <c r="G19" s="125" t="s">
        <v>212</v>
      </c>
      <c r="H19" s="123">
        <v>15.0</v>
      </c>
      <c r="I19" s="121"/>
      <c r="K19" s="121">
        <f>F19*H19</f>
        <v>15</v>
      </c>
      <c r="L19" s="133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8.0" customHeight="1">
      <c r="A20" s="114"/>
      <c r="B20" s="116"/>
      <c r="C20" s="116"/>
      <c r="D20" s="116"/>
      <c r="E20" s="116"/>
      <c r="F20" s="151"/>
      <c r="G20" s="125"/>
      <c r="H20" s="141"/>
      <c r="I20" s="133"/>
      <c r="J20" s="133"/>
      <c r="K20" s="133"/>
      <c r="L20" s="133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8.0" customHeight="1">
      <c r="A21" s="114"/>
      <c r="B21" s="116"/>
      <c r="C21" s="116"/>
      <c r="D21" s="116"/>
      <c r="E21" s="116"/>
      <c r="F21" s="151"/>
      <c r="G21" s="125"/>
      <c r="H21" s="141"/>
      <c r="I21" s="133"/>
      <c r="J21" s="133"/>
      <c r="K21" s="133"/>
      <c r="L21" s="133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8.0" customHeight="1">
      <c r="A22" s="114"/>
      <c r="B22" s="116"/>
      <c r="C22" s="116"/>
      <c r="D22" s="116"/>
      <c r="E22" s="116"/>
      <c r="F22" s="151"/>
      <c r="G22" s="125"/>
      <c r="H22" s="141"/>
      <c r="I22" s="133"/>
      <c r="J22" s="133"/>
      <c r="K22" s="133"/>
      <c r="L22" s="133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8.0" customHeight="1">
      <c r="A23" s="114"/>
      <c r="B23" s="116"/>
      <c r="C23" s="116"/>
      <c r="D23" s="116"/>
      <c r="E23" s="116"/>
      <c r="F23" s="151"/>
      <c r="G23" s="125"/>
      <c r="H23" s="141"/>
      <c r="I23" s="133"/>
      <c r="J23" s="133"/>
      <c r="K23" s="133"/>
      <c r="L23" s="133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8.0" customHeight="1">
      <c r="A24" s="107"/>
      <c r="B24" s="109"/>
      <c r="C24" s="109"/>
      <c r="D24" s="109"/>
      <c r="E24" s="109"/>
      <c r="F24" s="151"/>
      <c r="G24" s="118"/>
      <c r="H24" s="143"/>
      <c r="I24" s="133"/>
      <c r="J24" s="136"/>
      <c r="K24" s="136"/>
      <c r="L24" s="136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8.0" customHeight="1">
      <c r="A25" s="114"/>
      <c r="B25" s="116"/>
      <c r="C25" s="116"/>
      <c r="D25" s="116"/>
      <c r="E25" s="116"/>
      <c r="F25" s="117"/>
      <c r="G25" s="125"/>
      <c r="H25" s="141"/>
      <c r="I25" s="133"/>
      <c r="J25" s="133"/>
      <c r="K25" s="133"/>
      <c r="L25" s="133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8.0" customHeight="1">
      <c r="A26" s="114"/>
      <c r="B26" s="116"/>
      <c r="C26" s="116"/>
      <c r="D26" s="116"/>
      <c r="E26" s="116"/>
      <c r="F26" s="117"/>
      <c r="G26" s="125"/>
      <c r="H26" s="141"/>
      <c r="I26" s="133"/>
      <c r="J26" s="133"/>
      <c r="K26" s="133"/>
      <c r="L26" s="133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8.0" customHeight="1">
      <c r="A27" s="114"/>
      <c r="B27" s="116"/>
      <c r="C27" s="116"/>
      <c r="D27" s="116"/>
      <c r="E27" s="116"/>
      <c r="F27" s="117"/>
      <c r="G27" s="125"/>
      <c r="H27" s="141"/>
      <c r="I27" s="133"/>
      <c r="J27" s="133"/>
      <c r="K27" s="133"/>
      <c r="L27" s="133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8.0" customHeight="1">
      <c r="A28" s="114"/>
      <c r="B28" s="116"/>
      <c r="C28" s="116"/>
      <c r="D28" s="116"/>
      <c r="E28" s="116"/>
      <c r="F28" s="117"/>
      <c r="G28" s="125"/>
      <c r="H28" s="141"/>
      <c r="I28" s="133"/>
      <c r="J28" s="133"/>
      <c r="K28" s="133"/>
      <c r="L28" s="133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8.0" customHeight="1">
      <c r="A29" s="114"/>
      <c r="B29" s="116"/>
      <c r="C29" s="116"/>
      <c r="D29" s="116"/>
      <c r="E29" s="116"/>
      <c r="F29" s="117"/>
      <c r="G29" s="125"/>
      <c r="H29" s="141"/>
      <c r="I29" s="133"/>
      <c r="J29" s="133"/>
      <c r="K29" s="133"/>
      <c r="L29" s="133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8.0" customHeight="1">
      <c r="A30" s="114"/>
      <c r="B30" s="116"/>
      <c r="C30" s="116"/>
      <c r="D30" s="116"/>
      <c r="E30" s="116"/>
      <c r="F30" s="117"/>
      <c r="G30" s="125"/>
      <c r="H30" s="141"/>
      <c r="I30" s="133"/>
      <c r="J30" s="133"/>
      <c r="K30" s="133"/>
      <c r="L30" s="133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8.0" customHeight="1">
      <c r="A31" s="114"/>
      <c r="B31" s="116"/>
      <c r="C31" s="116"/>
      <c r="D31" s="116"/>
      <c r="E31" s="116"/>
      <c r="F31" s="117"/>
      <c r="G31" s="125"/>
      <c r="H31" s="141"/>
      <c r="I31" s="133"/>
      <c r="J31" s="133"/>
      <c r="K31" s="133"/>
      <c r="L31" s="133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8.0" customHeight="1">
      <c r="A32" s="114"/>
      <c r="B32" s="116"/>
      <c r="C32" s="116"/>
      <c r="D32" s="116"/>
      <c r="E32" s="116"/>
      <c r="F32" s="117"/>
      <c r="G32" s="125"/>
      <c r="H32" s="141"/>
      <c r="I32" s="133"/>
      <c r="J32" s="133"/>
      <c r="K32" s="133"/>
      <c r="L32" s="133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8.0" customHeight="1">
      <c r="A33" s="107"/>
      <c r="B33" s="109"/>
      <c r="C33" s="109"/>
      <c r="D33" s="109"/>
      <c r="E33" s="109"/>
      <c r="F33" s="151"/>
      <c r="G33" s="118"/>
      <c r="H33" s="143"/>
      <c r="I33" s="136"/>
      <c r="J33" s="136"/>
      <c r="K33" s="136"/>
      <c r="L33" s="136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8.0" customHeight="1">
      <c r="A34" s="114"/>
      <c r="B34" s="116"/>
      <c r="C34" s="116"/>
      <c r="D34" s="116"/>
      <c r="E34" s="116"/>
      <c r="F34" s="117"/>
      <c r="G34" s="125"/>
      <c r="H34" s="141"/>
      <c r="I34" s="133"/>
      <c r="J34" s="133"/>
      <c r="K34" s="133"/>
      <c r="L34" s="133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8.0" customHeight="1">
      <c r="A35" s="114"/>
      <c r="B35" s="116"/>
      <c r="C35" s="116"/>
      <c r="D35" s="116"/>
      <c r="E35" s="116"/>
      <c r="F35" s="117"/>
      <c r="G35" s="125"/>
      <c r="H35" s="141"/>
      <c r="I35" s="133"/>
      <c r="J35" s="133"/>
      <c r="K35" s="133"/>
      <c r="L35" s="133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8.0" customHeight="1">
      <c r="A36" s="114"/>
      <c r="B36" s="116"/>
      <c r="C36" s="116"/>
      <c r="D36" s="116"/>
      <c r="E36" s="116"/>
      <c r="F36" s="117"/>
      <c r="G36" s="125"/>
      <c r="H36" s="141"/>
      <c r="I36" s="133"/>
      <c r="J36" s="133"/>
      <c r="K36" s="133"/>
      <c r="L36" s="133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8.0" customHeight="1">
      <c r="A37" s="114"/>
      <c r="B37" s="116"/>
      <c r="C37" s="116"/>
      <c r="D37" s="116"/>
      <c r="E37" s="116"/>
      <c r="F37" s="117"/>
      <c r="G37" s="125"/>
      <c r="H37" s="141"/>
      <c r="I37" s="133"/>
      <c r="J37" s="133"/>
      <c r="K37" s="133"/>
      <c r="L37" s="133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8.0" customHeight="1">
      <c r="A38" s="114"/>
      <c r="B38" s="116"/>
      <c r="C38" s="116"/>
      <c r="D38" s="116"/>
      <c r="E38" s="116"/>
      <c r="F38" s="117"/>
      <c r="G38" s="125"/>
      <c r="H38" s="141"/>
      <c r="I38" s="133"/>
      <c r="J38" s="133"/>
      <c r="K38" s="133"/>
      <c r="L38" s="133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8.0" customHeight="1">
      <c r="A39" s="114"/>
      <c r="B39" s="116"/>
      <c r="C39" s="116"/>
      <c r="D39" s="116"/>
      <c r="E39" s="116"/>
      <c r="F39" s="117"/>
      <c r="G39" s="125"/>
      <c r="H39" s="141"/>
      <c r="I39" s="133"/>
      <c r="J39" s="133"/>
      <c r="K39" s="133"/>
      <c r="L39" s="133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8.0" customHeight="1">
      <c r="A40" s="107"/>
      <c r="B40" s="109"/>
      <c r="C40" s="109"/>
      <c r="D40" s="109"/>
      <c r="E40" s="109"/>
      <c r="F40" s="151"/>
      <c r="G40" s="118"/>
      <c r="H40" s="143"/>
      <c r="I40" s="136"/>
      <c r="J40" s="136"/>
      <c r="K40" s="136"/>
      <c r="L40" s="136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8.0" customHeight="1">
      <c r="A41" s="114"/>
      <c r="B41" s="116"/>
      <c r="C41" s="116"/>
      <c r="D41" s="116"/>
      <c r="E41" s="116"/>
      <c r="F41" s="117"/>
      <c r="G41" s="125"/>
      <c r="H41" s="141"/>
      <c r="I41" s="133"/>
      <c r="J41" s="133"/>
      <c r="K41" s="133"/>
      <c r="L41" s="133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8.0" customHeight="1">
      <c r="A42" s="114"/>
      <c r="B42" s="114"/>
      <c r="C42" s="114"/>
      <c r="D42" s="114"/>
      <c r="E42" s="114"/>
      <c r="F42" s="131"/>
      <c r="G42" s="132"/>
      <c r="H42" s="133"/>
      <c r="I42" s="133"/>
      <c r="J42" s="133"/>
      <c r="K42" s="133"/>
      <c r="L42" s="133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8.0" customHeight="1">
      <c r="A43" s="114"/>
      <c r="B43" s="114"/>
      <c r="C43" s="114"/>
      <c r="D43" s="114"/>
      <c r="E43" s="114"/>
      <c r="F43" s="131"/>
      <c r="G43" s="132"/>
      <c r="H43" s="133"/>
      <c r="I43" s="133"/>
      <c r="J43" s="133"/>
      <c r="K43" s="133"/>
      <c r="L43" s="133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8.0" customHeight="1">
      <c r="A44" s="114"/>
      <c r="B44" s="114"/>
      <c r="C44" s="114"/>
      <c r="D44" s="114"/>
      <c r="E44" s="114"/>
      <c r="F44" s="131"/>
      <c r="G44" s="132"/>
      <c r="H44" s="133"/>
      <c r="I44" s="133"/>
      <c r="J44" s="133"/>
      <c r="K44" s="133"/>
      <c r="L44" s="133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8.0" customHeight="1">
      <c r="A45" s="114"/>
      <c r="B45" s="114"/>
      <c r="C45" s="114"/>
      <c r="D45" s="114"/>
      <c r="E45" s="114"/>
      <c r="F45" s="131"/>
      <c r="G45" s="132"/>
      <c r="H45" s="133"/>
      <c r="I45" s="133"/>
      <c r="J45" s="133"/>
      <c r="K45" s="133"/>
      <c r="L45" s="133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8.0" customHeight="1">
      <c r="A46" s="114"/>
      <c r="B46" s="114"/>
      <c r="C46" s="114"/>
      <c r="D46" s="114"/>
      <c r="E46" s="114"/>
      <c r="F46" s="131"/>
      <c r="G46" s="132"/>
      <c r="H46" s="133"/>
      <c r="I46" s="133"/>
      <c r="J46" s="133"/>
      <c r="K46" s="133"/>
      <c r="L46" s="133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8.0" customHeight="1">
      <c r="A47" s="114"/>
      <c r="B47" s="114"/>
      <c r="C47" s="114"/>
      <c r="D47" s="114"/>
      <c r="E47" s="114"/>
      <c r="F47" s="131"/>
      <c r="G47" s="132"/>
      <c r="H47" s="133"/>
      <c r="I47" s="133"/>
      <c r="J47" s="133"/>
      <c r="K47" s="133"/>
      <c r="L47" s="133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8.0" customHeight="1">
      <c r="A48" s="114"/>
      <c r="B48" s="114"/>
      <c r="C48" s="114"/>
      <c r="D48" s="114"/>
      <c r="E48" s="114"/>
      <c r="F48" s="131"/>
      <c r="G48" s="132"/>
      <c r="H48" s="133"/>
      <c r="I48" s="133"/>
      <c r="J48" s="133"/>
      <c r="K48" s="133"/>
      <c r="L48" s="133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8.0" customHeight="1">
      <c r="A49" s="107"/>
      <c r="B49" s="107"/>
      <c r="C49" s="107"/>
      <c r="D49" s="107"/>
      <c r="E49" s="107"/>
      <c r="F49" s="134"/>
      <c r="G49" s="135"/>
      <c r="H49" s="136"/>
      <c r="I49" s="136"/>
      <c r="J49" s="136"/>
      <c r="K49" s="136"/>
      <c r="L49" s="136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8.0" customHeight="1">
      <c r="A50" s="107"/>
      <c r="B50" s="107"/>
      <c r="C50" s="107"/>
      <c r="D50" s="107"/>
      <c r="E50" s="107"/>
      <c r="F50" s="134"/>
      <c r="G50" s="135"/>
      <c r="H50" s="136"/>
      <c r="I50" s="136"/>
      <c r="J50" s="136"/>
      <c r="K50" s="136"/>
      <c r="L50" s="136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8.0" customHeight="1">
      <c r="A51" s="114"/>
      <c r="B51" s="114"/>
      <c r="C51" s="114"/>
      <c r="D51" s="114"/>
      <c r="E51" s="114"/>
      <c r="F51" s="131"/>
      <c r="G51" s="132"/>
      <c r="H51" s="133"/>
      <c r="I51" s="133"/>
      <c r="J51" s="133"/>
      <c r="K51" s="133"/>
      <c r="L51" s="133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8.0" customHeight="1">
      <c r="A52" s="114"/>
      <c r="B52" s="114"/>
      <c r="C52" s="114"/>
      <c r="D52" s="114"/>
      <c r="E52" s="114"/>
      <c r="F52" s="131"/>
      <c r="G52" s="132"/>
      <c r="H52" s="133"/>
      <c r="I52" s="133"/>
      <c r="J52" s="133"/>
      <c r="K52" s="133"/>
      <c r="L52" s="133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8.0" customHeight="1">
      <c r="A53" s="114"/>
      <c r="B53" s="114"/>
      <c r="C53" s="114"/>
      <c r="D53" s="114"/>
      <c r="E53" s="114"/>
      <c r="F53" s="131"/>
      <c r="G53" s="132"/>
      <c r="H53" s="133"/>
      <c r="I53" s="133"/>
      <c r="J53" s="133"/>
      <c r="K53" s="133"/>
      <c r="L53" s="133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8.0" customHeight="1">
      <c r="A54" s="114"/>
      <c r="B54" s="114"/>
      <c r="C54" s="114"/>
      <c r="D54" s="114"/>
      <c r="E54" s="114"/>
      <c r="F54" s="131"/>
      <c r="G54" s="132"/>
      <c r="H54" s="133"/>
      <c r="I54" s="133"/>
      <c r="J54" s="133"/>
      <c r="K54" s="133"/>
      <c r="L54" s="133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8.0" customHeight="1">
      <c r="A55" s="114"/>
      <c r="B55" s="114"/>
      <c r="C55" s="114"/>
      <c r="D55" s="114"/>
      <c r="E55" s="114"/>
      <c r="F55" s="131"/>
      <c r="G55" s="132"/>
      <c r="H55" s="133"/>
      <c r="I55" s="133"/>
      <c r="J55" s="133"/>
      <c r="K55" s="133"/>
      <c r="L55" s="133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8.0" customHeight="1">
      <c r="A56" s="114"/>
      <c r="B56" s="114"/>
      <c r="C56" s="114"/>
      <c r="D56" s="114"/>
      <c r="E56" s="114"/>
      <c r="F56" s="131"/>
      <c r="G56" s="132"/>
      <c r="H56" s="133"/>
      <c r="I56" s="133"/>
      <c r="J56" s="133"/>
      <c r="K56" s="133"/>
      <c r="L56" s="133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8.0" customHeight="1">
      <c r="A57" s="114"/>
      <c r="B57" s="114"/>
      <c r="C57" s="114"/>
      <c r="D57" s="114"/>
      <c r="E57" s="114"/>
      <c r="F57" s="131"/>
      <c r="G57" s="132"/>
      <c r="H57" s="133"/>
      <c r="I57" s="133"/>
      <c r="J57" s="133"/>
      <c r="K57" s="133"/>
      <c r="L57" s="133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8.0" customHeight="1">
      <c r="A58" s="114"/>
      <c r="B58" s="114"/>
      <c r="C58" s="114"/>
      <c r="D58" s="114"/>
      <c r="E58" s="114"/>
      <c r="F58" s="131"/>
      <c r="G58" s="132"/>
      <c r="H58" s="133"/>
      <c r="I58" s="133"/>
      <c r="J58" s="133"/>
      <c r="K58" s="133"/>
      <c r="L58" s="133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8.0" customHeight="1">
      <c r="A59" s="114"/>
      <c r="B59" s="114"/>
      <c r="C59" s="114"/>
      <c r="D59" s="114"/>
      <c r="E59" s="114"/>
      <c r="F59" s="131"/>
      <c r="G59" s="132"/>
      <c r="H59" s="133"/>
      <c r="I59" s="133"/>
      <c r="J59" s="133"/>
      <c r="K59" s="133"/>
      <c r="L59" s="133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8.0" customHeight="1">
      <c r="A60" s="114"/>
      <c r="B60" s="114"/>
      <c r="C60" s="114"/>
      <c r="D60" s="114"/>
      <c r="E60" s="114"/>
      <c r="F60" s="131"/>
      <c r="G60" s="132"/>
      <c r="H60" s="133"/>
      <c r="I60" s="133"/>
      <c r="J60" s="133"/>
      <c r="K60" s="133"/>
      <c r="L60" s="133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8.0" customHeight="1">
      <c r="A61" s="107"/>
      <c r="B61" s="107"/>
      <c r="C61" s="107"/>
      <c r="D61" s="107"/>
      <c r="E61" s="107"/>
      <c r="F61" s="134"/>
      <c r="G61" s="135"/>
      <c r="H61" s="136"/>
      <c r="I61" s="136"/>
      <c r="J61" s="136"/>
      <c r="K61" s="136"/>
      <c r="L61" s="136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8.0" customHeight="1">
      <c r="A62" s="114"/>
      <c r="B62" s="114"/>
      <c r="C62" s="114"/>
      <c r="D62" s="114"/>
      <c r="E62" s="114"/>
      <c r="F62" s="131"/>
      <c r="G62" s="132"/>
      <c r="H62" s="133"/>
      <c r="I62" s="133"/>
      <c r="J62" s="133"/>
      <c r="K62" s="133"/>
      <c r="L62" s="133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8.0" customHeight="1">
      <c r="A63" s="114"/>
      <c r="B63" s="114"/>
      <c r="C63" s="114"/>
      <c r="D63" s="114"/>
      <c r="E63" s="114"/>
      <c r="F63" s="131"/>
      <c r="G63" s="132"/>
      <c r="H63" s="133"/>
      <c r="I63" s="133"/>
      <c r="J63" s="133"/>
      <c r="K63" s="133"/>
      <c r="L63" s="133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8.0" customHeight="1">
      <c r="A64" s="114"/>
      <c r="B64" s="114"/>
      <c r="C64" s="114"/>
      <c r="D64" s="114"/>
      <c r="E64" s="114"/>
      <c r="F64" s="131"/>
      <c r="G64" s="132"/>
      <c r="H64" s="133"/>
      <c r="I64" s="133"/>
      <c r="J64" s="133"/>
      <c r="K64" s="133"/>
      <c r="L64" s="133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8.0" customHeight="1">
      <c r="A65" s="114"/>
      <c r="B65" s="114"/>
      <c r="C65" s="114"/>
      <c r="D65" s="114"/>
      <c r="E65" s="114"/>
      <c r="F65" s="131"/>
      <c r="G65" s="132"/>
      <c r="H65" s="133"/>
      <c r="I65" s="133"/>
      <c r="J65" s="133"/>
      <c r="K65" s="133"/>
      <c r="L65" s="133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8.0" customHeight="1">
      <c r="A66" s="114"/>
      <c r="B66" s="114"/>
      <c r="C66" s="114"/>
      <c r="D66" s="114"/>
      <c r="E66" s="114"/>
      <c r="F66" s="131"/>
      <c r="G66" s="132"/>
      <c r="H66" s="133"/>
      <c r="I66" s="133"/>
      <c r="J66" s="133"/>
      <c r="K66" s="133"/>
      <c r="L66" s="133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8.0" customHeight="1">
      <c r="A67" s="114"/>
      <c r="B67" s="114"/>
      <c r="C67" s="114"/>
      <c r="D67" s="114"/>
      <c r="E67" s="114"/>
      <c r="F67" s="131"/>
      <c r="G67" s="132"/>
      <c r="H67" s="133"/>
      <c r="I67" s="133"/>
      <c r="J67" s="133"/>
      <c r="K67" s="133"/>
      <c r="L67" s="133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8.0" customHeight="1">
      <c r="A68" s="114"/>
      <c r="B68" s="114"/>
      <c r="C68" s="114"/>
      <c r="D68" s="114"/>
      <c r="E68" s="114"/>
      <c r="F68" s="131"/>
      <c r="G68" s="132"/>
      <c r="H68" s="133"/>
      <c r="I68" s="133"/>
      <c r="J68" s="133"/>
      <c r="K68" s="133"/>
      <c r="L68" s="133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8.0" customHeight="1">
      <c r="A69" s="114"/>
      <c r="B69" s="114"/>
      <c r="C69" s="114"/>
      <c r="D69" s="114"/>
      <c r="E69" s="114"/>
      <c r="F69" s="131"/>
      <c r="G69" s="132"/>
      <c r="H69" s="133"/>
      <c r="I69" s="133"/>
      <c r="J69" s="133"/>
      <c r="K69" s="133"/>
      <c r="L69" s="133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8.0" customHeight="1">
      <c r="A70" s="107"/>
      <c r="B70" s="107"/>
      <c r="C70" s="107"/>
      <c r="D70" s="107"/>
      <c r="E70" s="107"/>
      <c r="F70" s="134"/>
      <c r="G70" s="135"/>
      <c r="H70" s="136"/>
      <c r="I70" s="136"/>
      <c r="J70" s="136"/>
      <c r="K70" s="136"/>
      <c r="L70" s="136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8.0" customHeight="1">
      <c r="A71" s="114"/>
      <c r="B71" s="114"/>
      <c r="C71" s="114"/>
      <c r="D71" s="114"/>
      <c r="E71" s="114"/>
      <c r="F71" s="131"/>
      <c r="G71" s="132"/>
      <c r="H71" s="133"/>
      <c r="I71" s="133"/>
      <c r="J71" s="133"/>
      <c r="K71" s="133"/>
      <c r="L71" s="133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8.0" customHeight="1">
      <c r="A72" s="114"/>
      <c r="B72" s="114"/>
      <c r="C72" s="114"/>
      <c r="D72" s="114"/>
      <c r="E72" s="114"/>
      <c r="F72" s="131"/>
      <c r="G72" s="132"/>
      <c r="H72" s="133"/>
      <c r="I72" s="133"/>
      <c r="J72" s="133"/>
      <c r="K72" s="133"/>
      <c r="L72" s="133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8.0" customHeight="1">
      <c r="A73" s="114"/>
      <c r="B73" s="114"/>
      <c r="C73" s="114"/>
      <c r="D73" s="114"/>
      <c r="E73" s="114"/>
      <c r="F73" s="131"/>
      <c r="G73" s="132"/>
      <c r="H73" s="133"/>
      <c r="I73" s="133"/>
      <c r="J73" s="133"/>
      <c r="K73" s="133"/>
      <c r="L73" s="133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8.0" customHeight="1">
      <c r="A74" s="114"/>
      <c r="B74" s="114"/>
      <c r="C74" s="114"/>
      <c r="D74" s="114"/>
      <c r="E74" s="114"/>
      <c r="F74" s="131"/>
      <c r="G74" s="132"/>
      <c r="H74" s="133"/>
      <c r="I74" s="133"/>
      <c r="J74" s="133"/>
      <c r="K74" s="133"/>
      <c r="L74" s="133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8.0" customHeight="1">
      <c r="A75" s="114"/>
      <c r="B75" s="114"/>
      <c r="C75" s="114"/>
      <c r="D75" s="114"/>
      <c r="E75" s="114"/>
      <c r="F75" s="131"/>
      <c r="G75" s="132"/>
      <c r="H75" s="133"/>
      <c r="I75" s="133"/>
      <c r="J75" s="133"/>
      <c r="K75" s="133"/>
      <c r="L75" s="133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8.0" customHeight="1">
      <c r="A76" s="114"/>
      <c r="B76" s="114"/>
      <c r="C76" s="114"/>
      <c r="D76" s="114"/>
      <c r="E76" s="114"/>
      <c r="F76" s="131"/>
      <c r="G76" s="132"/>
      <c r="H76" s="133"/>
      <c r="I76" s="133"/>
      <c r="J76" s="133"/>
      <c r="K76" s="133"/>
      <c r="L76" s="133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8.0" customHeight="1">
      <c r="A77" s="107"/>
      <c r="B77" s="107"/>
      <c r="C77" s="107"/>
      <c r="D77" s="107"/>
      <c r="E77" s="107"/>
      <c r="F77" s="134"/>
      <c r="G77" s="135"/>
      <c r="H77" s="136"/>
      <c r="I77" s="136"/>
      <c r="J77" s="136"/>
      <c r="K77" s="136"/>
      <c r="L77" s="136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8.0" customHeight="1">
      <c r="A78" s="114"/>
      <c r="B78" s="114"/>
      <c r="C78" s="114"/>
      <c r="D78" s="114"/>
      <c r="E78" s="114"/>
      <c r="F78" s="131"/>
      <c r="G78" s="132"/>
      <c r="H78" s="133"/>
      <c r="I78" s="133"/>
      <c r="J78" s="133"/>
      <c r="K78" s="133"/>
      <c r="L78" s="133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8.0" customHeight="1">
      <c r="A79" s="114"/>
      <c r="B79" s="114"/>
      <c r="C79" s="114"/>
      <c r="D79" s="114"/>
      <c r="E79" s="114"/>
      <c r="F79" s="131"/>
      <c r="G79" s="132"/>
      <c r="H79" s="133"/>
      <c r="I79" s="133"/>
      <c r="J79" s="133"/>
      <c r="K79" s="133"/>
      <c r="L79" s="133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8.0" customHeight="1">
      <c r="A80" s="114"/>
      <c r="B80" s="114"/>
      <c r="C80" s="114"/>
      <c r="D80" s="114"/>
      <c r="E80" s="114"/>
      <c r="F80" s="131"/>
      <c r="G80" s="132"/>
      <c r="H80" s="133"/>
      <c r="I80" s="133"/>
      <c r="J80" s="133"/>
      <c r="K80" s="133"/>
      <c r="L80" s="133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8.0" customHeight="1">
      <c r="A81" s="114"/>
      <c r="B81" s="114"/>
      <c r="C81" s="114"/>
      <c r="D81" s="114"/>
      <c r="E81" s="114"/>
      <c r="F81" s="131"/>
      <c r="G81" s="132"/>
      <c r="H81" s="133"/>
      <c r="I81" s="133"/>
      <c r="J81" s="133"/>
      <c r="K81" s="133"/>
      <c r="L81" s="133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8.0" customHeight="1">
      <c r="A82" s="114"/>
      <c r="B82" s="114"/>
      <c r="C82" s="114"/>
      <c r="D82" s="114"/>
      <c r="E82" s="114"/>
      <c r="F82" s="131"/>
      <c r="G82" s="132"/>
      <c r="H82" s="133"/>
      <c r="I82" s="133"/>
      <c r="J82" s="133"/>
      <c r="K82" s="133"/>
      <c r="L82" s="133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8.0" customHeight="1">
      <c r="A83" s="114"/>
      <c r="B83" s="114"/>
      <c r="C83" s="114"/>
      <c r="D83" s="114"/>
      <c r="E83" s="114"/>
      <c r="F83" s="131"/>
      <c r="G83" s="132"/>
      <c r="H83" s="133"/>
      <c r="I83" s="133"/>
      <c r="J83" s="133"/>
      <c r="K83" s="133"/>
      <c r="L83" s="133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8.0" customHeight="1">
      <c r="A84" s="114"/>
      <c r="B84" s="114"/>
      <c r="C84" s="114"/>
      <c r="D84" s="114"/>
      <c r="E84" s="114"/>
      <c r="F84" s="131"/>
      <c r="G84" s="132"/>
      <c r="H84" s="133"/>
      <c r="I84" s="133"/>
      <c r="J84" s="133"/>
      <c r="K84" s="133"/>
      <c r="L84" s="133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8.0" customHeight="1">
      <c r="A85" s="114"/>
      <c r="B85" s="114"/>
      <c r="C85" s="114"/>
      <c r="D85" s="114"/>
      <c r="E85" s="114"/>
      <c r="F85" s="131"/>
      <c r="G85" s="132"/>
      <c r="H85" s="133"/>
      <c r="I85" s="133"/>
      <c r="J85" s="133"/>
      <c r="K85" s="133"/>
      <c r="L85" s="133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8.0" customHeight="1">
      <c r="A86" s="107"/>
      <c r="B86" s="107"/>
      <c r="C86" s="107"/>
      <c r="D86" s="107"/>
      <c r="E86" s="107"/>
      <c r="F86" s="134"/>
      <c r="G86" s="135"/>
      <c r="H86" s="136"/>
      <c r="I86" s="136"/>
      <c r="J86" s="136"/>
      <c r="K86" s="136"/>
      <c r="L86" s="136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8.0" customHeight="1">
      <c r="A87" s="107"/>
      <c r="B87" s="107"/>
      <c r="C87" s="107"/>
      <c r="D87" s="107"/>
      <c r="E87" s="107"/>
      <c r="F87" s="134"/>
      <c r="G87" s="135"/>
      <c r="H87" s="136"/>
      <c r="I87" s="136"/>
      <c r="J87" s="136"/>
      <c r="K87" s="136"/>
      <c r="L87" s="136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8.0" customHeight="1">
      <c r="A88" s="114"/>
      <c r="B88" s="114"/>
      <c r="C88" s="114"/>
      <c r="D88" s="114"/>
      <c r="E88" s="114"/>
      <c r="F88" s="131"/>
      <c r="G88" s="132"/>
      <c r="H88" s="133"/>
      <c r="I88" s="133"/>
      <c r="J88" s="133"/>
      <c r="K88" s="133"/>
      <c r="L88" s="133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8.0" customHeight="1">
      <c r="A89" s="114"/>
      <c r="B89" s="114"/>
      <c r="C89" s="114"/>
      <c r="D89" s="114"/>
      <c r="E89" s="114"/>
      <c r="F89" s="131"/>
      <c r="G89" s="132"/>
      <c r="H89" s="133"/>
      <c r="I89" s="133"/>
      <c r="J89" s="133"/>
      <c r="K89" s="133"/>
      <c r="L89" s="133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8.0" customHeight="1">
      <c r="A90" s="114"/>
      <c r="B90" s="114"/>
      <c r="C90" s="114"/>
      <c r="D90" s="114"/>
      <c r="E90" s="114"/>
      <c r="F90" s="131"/>
      <c r="G90" s="132"/>
      <c r="H90" s="133"/>
      <c r="I90" s="133"/>
      <c r="J90" s="133"/>
      <c r="K90" s="133"/>
      <c r="L90" s="133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8.0" customHeight="1">
      <c r="A91" s="114"/>
      <c r="B91" s="114"/>
      <c r="C91" s="114"/>
      <c r="D91" s="114"/>
      <c r="E91" s="114"/>
      <c r="F91" s="131"/>
      <c r="G91" s="132"/>
      <c r="H91" s="133"/>
      <c r="I91" s="133"/>
      <c r="J91" s="133"/>
      <c r="K91" s="133"/>
      <c r="L91" s="133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8.0" customHeight="1">
      <c r="A92" s="114"/>
      <c r="B92" s="114"/>
      <c r="C92" s="114"/>
      <c r="D92" s="114"/>
      <c r="E92" s="114"/>
      <c r="F92" s="131"/>
      <c r="G92" s="132"/>
      <c r="H92" s="133"/>
      <c r="I92" s="133"/>
      <c r="J92" s="133"/>
      <c r="K92" s="133"/>
      <c r="L92" s="133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8.0" customHeight="1">
      <c r="A93" s="114"/>
      <c r="B93" s="114"/>
      <c r="C93" s="114"/>
      <c r="D93" s="114"/>
      <c r="E93" s="114"/>
      <c r="F93" s="131"/>
      <c r="G93" s="132"/>
      <c r="H93" s="133"/>
      <c r="I93" s="133"/>
      <c r="J93" s="133"/>
      <c r="K93" s="133"/>
      <c r="L93" s="133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8.0" customHeight="1">
      <c r="A94" s="114"/>
      <c r="B94" s="114"/>
      <c r="C94" s="114"/>
      <c r="D94" s="114"/>
      <c r="E94" s="114"/>
      <c r="F94" s="131"/>
      <c r="G94" s="132"/>
      <c r="H94" s="133"/>
      <c r="I94" s="133"/>
      <c r="J94" s="133"/>
      <c r="K94" s="133"/>
      <c r="L94" s="133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8.0" customHeight="1">
      <c r="A95" s="114"/>
      <c r="B95" s="114"/>
      <c r="C95" s="114"/>
      <c r="D95" s="114"/>
      <c r="E95" s="114"/>
      <c r="F95" s="131"/>
      <c r="G95" s="132"/>
      <c r="H95" s="133"/>
      <c r="I95" s="133"/>
      <c r="J95" s="133"/>
      <c r="K95" s="133"/>
      <c r="L95" s="133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8.0" customHeight="1">
      <c r="A96" s="114"/>
      <c r="B96" s="114"/>
      <c r="C96" s="114"/>
      <c r="D96" s="114"/>
      <c r="E96" s="114"/>
      <c r="F96" s="131"/>
      <c r="G96" s="132"/>
      <c r="H96" s="133"/>
      <c r="I96" s="133"/>
      <c r="J96" s="133"/>
      <c r="K96" s="133"/>
      <c r="L96" s="133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8.0" customHeight="1">
      <c r="A97" s="114"/>
      <c r="B97" s="114"/>
      <c r="C97" s="114"/>
      <c r="D97" s="114"/>
      <c r="E97" s="114"/>
      <c r="F97" s="131"/>
      <c r="G97" s="132"/>
      <c r="H97" s="133"/>
      <c r="I97" s="133"/>
      <c r="J97" s="133"/>
      <c r="K97" s="133"/>
      <c r="L97" s="133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8.0" customHeight="1">
      <c r="A98" s="114"/>
      <c r="B98" s="114"/>
      <c r="C98" s="114"/>
      <c r="D98" s="114"/>
      <c r="E98" s="114"/>
      <c r="F98" s="131"/>
      <c r="G98" s="132"/>
      <c r="H98" s="133"/>
      <c r="I98" s="133"/>
      <c r="J98" s="133"/>
      <c r="K98" s="133"/>
      <c r="L98" s="133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8.0" customHeight="1">
      <c r="A99" s="114"/>
      <c r="B99" s="114"/>
      <c r="C99" s="114"/>
      <c r="D99" s="114"/>
      <c r="E99" s="114"/>
      <c r="F99" s="131"/>
      <c r="G99" s="132"/>
      <c r="H99" s="133"/>
      <c r="I99" s="133"/>
      <c r="J99" s="133"/>
      <c r="K99" s="133"/>
      <c r="L99" s="133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8.0" customHeight="1">
      <c r="A100" s="107"/>
      <c r="B100" s="107"/>
      <c r="C100" s="107"/>
      <c r="D100" s="107"/>
      <c r="E100" s="107"/>
      <c r="F100" s="134"/>
      <c r="G100" s="135"/>
      <c r="H100" s="136"/>
      <c r="I100" s="136"/>
      <c r="J100" s="136"/>
      <c r="K100" s="136"/>
      <c r="L100" s="136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8.0" customHeight="1">
      <c r="A101" s="114"/>
      <c r="B101" s="114"/>
      <c r="C101" s="114"/>
      <c r="D101" s="114"/>
      <c r="E101" s="114"/>
      <c r="F101" s="131"/>
      <c r="G101" s="132"/>
      <c r="H101" s="133"/>
      <c r="I101" s="133"/>
      <c r="J101" s="133"/>
      <c r="K101" s="133"/>
      <c r="L101" s="133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8.0" customHeight="1">
      <c r="A102" s="114"/>
      <c r="B102" s="114"/>
      <c r="C102" s="114"/>
      <c r="D102" s="114"/>
      <c r="E102" s="114"/>
      <c r="F102" s="131"/>
      <c r="G102" s="132"/>
      <c r="H102" s="133"/>
      <c r="I102" s="133"/>
      <c r="J102" s="133"/>
      <c r="K102" s="133"/>
      <c r="L102" s="133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8.0" customHeight="1">
      <c r="A103" s="114"/>
      <c r="B103" s="114"/>
      <c r="C103" s="114"/>
      <c r="D103" s="114"/>
      <c r="E103" s="114"/>
      <c r="F103" s="131"/>
      <c r="G103" s="132"/>
      <c r="H103" s="133"/>
      <c r="I103" s="133"/>
      <c r="J103" s="133"/>
      <c r="K103" s="133"/>
      <c r="L103" s="133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8.0" customHeight="1">
      <c r="A104" s="114"/>
      <c r="B104" s="114"/>
      <c r="C104" s="114"/>
      <c r="D104" s="114"/>
      <c r="E104" s="114"/>
      <c r="F104" s="131"/>
      <c r="G104" s="132"/>
      <c r="H104" s="133"/>
      <c r="I104" s="133"/>
      <c r="J104" s="133"/>
      <c r="K104" s="133"/>
      <c r="L104" s="133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8.0" customHeight="1">
      <c r="A105" s="114"/>
      <c r="B105" s="114"/>
      <c r="C105" s="114"/>
      <c r="D105" s="114"/>
      <c r="E105" s="114"/>
      <c r="F105" s="131"/>
      <c r="G105" s="132"/>
      <c r="H105" s="133"/>
      <c r="I105" s="133"/>
      <c r="J105" s="133"/>
      <c r="K105" s="133"/>
      <c r="L105" s="133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8.0" customHeight="1">
      <c r="A106" s="114"/>
      <c r="B106" s="114"/>
      <c r="C106" s="114"/>
      <c r="D106" s="114"/>
      <c r="E106" s="114"/>
      <c r="F106" s="131"/>
      <c r="G106" s="132"/>
      <c r="H106" s="133"/>
      <c r="I106" s="133"/>
      <c r="J106" s="133"/>
      <c r="K106" s="133"/>
      <c r="L106" s="133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8.0" customHeight="1">
      <c r="A107" s="114"/>
      <c r="B107" s="114"/>
      <c r="C107" s="114"/>
      <c r="D107" s="114"/>
      <c r="E107" s="114"/>
      <c r="F107" s="131"/>
      <c r="G107" s="132"/>
      <c r="H107" s="133"/>
      <c r="I107" s="133"/>
      <c r="J107" s="133"/>
      <c r="K107" s="133"/>
      <c r="L107" s="133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8.0" customHeight="1">
      <c r="A108" s="114"/>
      <c r="B108" s="114"/>
      <c r="C108" s="114"/>
      <c r="D108" s="114"/>
      <c r="E108" s="114"/>
      <c r="F108" s="131"/>
      <c r="G108" s="132"/>
      <c r="H108" s="133"/>
      <c r="I108" s="133"/>
      <c r="J108" s="133"/>
      <c r="K108" s="133"/>
      <c r="L108" s="133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8.0" customHeight="1">
      <c r="A109" s="107"/>
      <c r="B109" s="107"/>
      <c r="C109" s="107"/>
      <c r="D109" s="107"/>
      <c r="E109" s="107"/>
      <c r="F109" s="134"/>
      <c r="G109" s="135"/>
      <c r="H109" s="136"/>
      <c r="I109" s="136"/>
      <c r="J109" s="136"/>
      <c r="K109" s="136"/>
      <c r="L109" s="136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8.0" customHeight="1">
      <c r="A110" s="114"/>
      <c r="B110" s="114"/>
      <c r="C110" s="114"/>
      <c r="D110" s="114"/>
      <c r="E110" s="114"/>
      <c r="F110" s="131"/>
      <c r="G110" s="132"/>
      <c r="H110" s="133"/>
      <c r="I110" s="133"/>
      <c r="J110" s="133"/>
      <c r="K110" s="133"/>
      <c r="L110" s="133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8.0" customHeight="1">
      <c r="A111" s="114"/>
      <c r="B111" s="114"/>
      <c r="C111" s="114"/>
      <c r="D111" s="114"/>
      <c r="E111" s="114"/>
      <c r="F111" s="131"/>
      <c r="G111" s="132"/>
      <c r="H111" s="133"/>
      <c r="I111" s="133"/>
      <c r="J111" s="133"/>
      <c r="K111" s="133"/>
      <c r="L111" s="133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8.0" customHeight="1">
      <c r="A112" s="114"/>
      <c r="B112" s="114"/>
      <c r="C112" s="114"/>
      <c r="D112" s="114"/>
      <c r="E112" s="114"/>
      <c r="F112" s="131"/>
      <c r="G112" s="132"/>
      <c r="H112" s="133"/>
      <c r="I112" s="133"/>
      <c r="J112" s="133"/>
      <c r="K112" s="133"/>
      <c r="L112" s="133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8.0" customHeight="1">
      <c r="A113" s="114"/>
      <c r="B113" s="114"/>
      <c r="C113" s="114"/>
      <c r="D113" s="114"/>
      <c r="E113" s="114"/>
      <c r="F113" s="131"/>
      <c r="G113" s="132"/>
      <c r="H113" s="133"/>
      <c r="I113" s="133"/>
      <c r="J113" s="133"/>
      <c r="K113" s="133"/>
      <c r="L113" s="133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8.0" customHeight="1">
      <c r="A114" s="114"/>
      <c r="B114" s="114"/>
      <c r="C114" s="114"/>
      <c r="D114" s="114"/>
      <c r="E114" s="114"/>
      <c r="F114" s="131"/>
      <c r="G114" s="132"/>
      <c r="H114" s="133"/>
      <c r="I114" s="133"/>
      <c r="J114" s="133"/>
      <c r="K114" s="133"/>
      <c r="L114" s="133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8.0" customHeight="1">
      <c r="A115" s="114"/>
      <c r="B115" s="114"/>
      <c r="C115" s="114"/>
      <c r="D115" s="114"/>
      <c r="E115" s="114"/>
      <c r="F115" s="131"/>
      <c r="G115" s="132"/>
      <c r="H115" s="133"/>
      <c r="I115" s="133"/>
      <c r="J115" s="133"/>
      <c r="K115" s="133"/>
      <c r="L115" s="133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8.0" customHeight="1">
      <c r="A116" s="107"/>
      <c r="B116" s="107"/>
      <c r="C116" s="107"/>
      <c r="D116" s="107"/>
      <c r="E116" s="107"/>
      <c r="F116" s="134"/>
      <c r="G116" s="135"/>
      <c r="H116" s="136"/>
      <c r="I116" s="136"/>
      <c r="J116" s="136"/>
      <c r="K116" s="136"/>
      <c r="L116" s="136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8.0" customHeight="1">
      <c r="A117" s="114"/>
      <c r="B117" s="114"/>
      <c r="C117" s="114"/>
      <c r="D117" s="114"/>
      <c r="E117" s="114"/>
      <c r="F117" s="131"/>
      <c r="G117" s="132"/>
      <c r="H117" s="133"/>
      <c r="I117" s="133"/>
      <c r="J117" s="133"/>
      <c r="K117" s="133"/>
      <c r="L117" s="133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8.0" customHeight="1">
      <c r="A118" s="114"/>
      <c r="B118" s="114"/>
      <c r="C118" s="114"/>
      <c r="D118" s="114"/>
      <c r="E118" s="114"/>
      <c r="F118" s="131"/>
      <c r="G118" s="132"/>
      <c r="H118" s="133"/>
      <c r="I118" s="133"/>
      <c r="J118" s="133"/>
      <c r="K118" s="133"/>
      <c r="L118" s="133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8.0" customHeight="1">
      <c r="A119" s="114"/>
      <c r="B119" s="114"/>
      <c r="C119" s="114"/>
      <c r="D119" s="114"/>
      <c r="E119" s="114"/>
      <c r="F119" s="131"/>
      <c r="G119" s="132"/>
      <c r="H119" s="133"/>
      <c r="I119" s="133"/>
      <c r="J119" s="133"/>
      <c r="K119" s="133"/>
      <c r="L119" s="133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8.0" customHeight="1">
      <c r="A120" s="114"/>
      <c r="B120" s="114"/>
      <c r="C120" s="114"/>
      <c r="D120" s="114"/>
      <c r="E120" s="114"/>
      <c r="F120" s="131"/>
      <c r="G120" s="132"/>
      <c r="H120" s="133"/>
      <c r="I120" s="133"/>
      <c r="J120" s="133"/>
      <c r="K120" s="133"/>
      <c r="L120" s="133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8.0" customHeight="1">
      <c r="A121" s="114"/>
      <c r="B121" s="114"/>
      <c r="C121" s="114"/>
      <c r="D121" s="114"/>
      <c r="E121" s="114"/>
      <c r="F121" s="131"/>
      <c r="G121" s="132"/>
      <c r="H121" s="133"/>
      <c r="I121" s="133"/>
      <c r="J121" s="133"/>
      <c r="K121" s="133"/>
      <c r="L121" s="133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8.0" customHeight="1">
      <c r="A122" s="114"/>
      <c r="B122" s="114"/>
      <c r="C122" s="114"/>
      <c r="D122" s="114"/>
      <c r="E122" s="114"/>
      <c r="F122" s="131"/>
      <c r="G122" s="132"/>
      <c r="H122" s="133"/>
      <c r="I122" s="133"/>
      <c r="J122" s="133"/>
      <c r="K122" s="133"/>
      <c r="L122" s="133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8.0" customHeight="1">
      <c r="A123" s="114"/>
      <c r="B123" s="114"/>
      <c r="C123" s="114"/>
      <c r="D123" s="114"/>
      <c r="E123" s="114"/>
      <c r="F123" s="131"/>
      <c r="G123" s="132"/>
      <c r="H123" s="133"/>
      <c r="I123" s="133"/>
      <c r="J123" s="133"/>
      <c r="K123" s="133"/>
      <c r="L123" s="133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8.0" customHeight="1">
      <c r="A124" s="114"/>
      <c r="B124" s="114"/>
      <c r="C124" s="114"/>
      <c r="D124" s="114"/>
      <c r="E124" s="114"/>
      <c r="F124" s="131"/>
      <c r="G124" s="132"/>
      <c r="H124" s="133"/>
      <c r="I124" s="133"/>
      <c r="J124" s="133"/>
      <c r="K124" s="133"/>
      <c r="L124" s="133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8.0" customHeight="1">
      <c r="A125" s="107"/>
      <c r="B125" s="107"/>
      <c r="C125" s="107"/>
      <c r="D125" s="107"/>
      <c r="E125" s="107"/>
      <c r="F125" s="134"/>
      <c r="G125" s="135"/>
      <c r="H125" s="136"/>
      <c r="I125" s="136"/>
      <c r="J125" s="136"/>
      <c r="K125" s="136"/>
      <c r="L125" s="136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8.0" customHeight="1">
      <c r="A126" s="107"/>
      <c r="B126" s="107"/>
      <c r="C126" s="107"/>
      <c r="D126" s="107"/>
      <c r="E126" s="107"/>
      <c r="F126" s="134"/>
      <c r="G126" s="135"/>
      <c r="H126" s="136"/>
      <c r="I126" s="136"/>
      <c r="J126" s="136"/>
      <c r="K126" s="136"/>
      <c r="L126" s="136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8.0" customHeight="1">
      <c r="A127" s="114"/>
      <c r="B127" s="114"/>
      <c r="C127" s="114"/>
      <c r="D127" s="114"/>
      <c r="E127" s="114"/>
      <c r="F127" s="131"/>
      <c r="G127" s="132"/>
      <c r="H127" s="133"/>
      <c r="I127" s="133"/>
      <c r="J127" s="133"/>
      <c r="K127" s="133"/>
      <c r="L127" s="133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8.0" customHeight="1">
      <c r="A128" s="114"/>
      <c r="B128" s="114"/>
      <c r="C128" s="114"/>
      <c r="D128" s="114"/>
      <c r="E128" s="114"/>
      <c r="F128" s="131"/>
      <c r="G128" s="132"/>
      <c r="H128" s="133"/>
      <c r="I128" s="133"/>
      <c r="J128" s="133"/>
      <c r="K128" s="133"/>
      <c r="L128" s="133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8.0" customHeight="1">
      <c r="A129" s="114"/>
      <c r="B129" s="114"/>
      <c r="C129" s="114"/>
      <c r="D129" s="114"/>
      <c r="E129" s="114"/>
      <c r="F129" s="131"/>
      <c r="G129" s="132"/>
      <c r="H129" s="133"/>
      <c r="I129" s="133"/>
      <c r="J129" s="133"/>
      <c r="K129" s="133"/>
      <c r="L129" s="133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8.0" customHeight="1">
      <c r="A130" s="114"/>
      <c r="B130" s="114"/>
      <c r="C130" s="114"/>
      <c r="D130" s="114"/>
      <c r="E130" s="114"/>
      <c r="F130" s="131"/>
      <c r="G130" s="132"/>
      <c r="H130" s="133"/>
      <c r="I130" s="133"/>
      <c r="J130" s="133"/>
      <c r="K130" s="133"/>
      <c r="L130" s="133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8.0" customHeight="1">
      <c r="A131" s="114"/>
      <c r="B131" s="114"/>
      <c r="C131" s="114"/>
      <c r="D131" s="114"/>
      <c r="E131" s="114"/>
      <c r="F131" s="131"/>
      <c r="G131" s="132"/>
      <c r="H131" s="133"/>
      <c r="I131" s="133"/>
      <c r="J131" s="133"/>
      <c r="K131" s="133"/>
      <c r="L131" s="133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8.0" customHeight="1">
      <c r="A132" s="114"/>
      <c r="B132" s="114"/>
      <c r="C132" s="114"/>
      <c r="D132" s="114"/>
      <c r="E132" s="114"/>
      <c r="F132" s="131"/>
      <c r="G132" s="132"/>
      <c r="H132" s="133"/>
      <c r="I132" s="133"/>
      <c r="J132" s="133"/>
      <c r="K132" s="133"/>
      <c r="L132" s="133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8.0" customHeight="1">
      <c r="A133" s="114"/>
      <c r="B133" s="114"/>
      <c r="C133" s="114"/>
      <c r="D133" s="114"/>
      <c r="E133" s="114"/>
      <c r="F133" s="131"/>
      <c r="G133" s="132"/>
      <c r="H133" s="133"/>
      <c r="I133" s="133"/>
      <c r="J133" s="133"/>
      <c r="K133" s="133"/>
      <c r="L133" s="133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8.0" customHeight="1">
      <c r="A134" s="114"/>
      <c r="B134" s="114"/>
      <c r="C134" s="114"/>
      <c r="D134" s="114"/>
      <c r="E134" s="114"/>
      <c r="F134" s="131"/>
      <c r="G134" s="132"/>
      <c r="H134" s="133"/>
      <c r="I134" s="133"/>
      <c r="J134" s="133"/>
      <c r="K134" s="133"/>
      <c r="L134" s="133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8.0" customHeight="1">
      <c r="A135" s="114"/>
      <c r="B135" s="114"/>
      <c r="C135" s="114"/>
      <c r="D135" s="114"/>
      <c r="E135" s="114"/>
      <c r="F135" s="131"/>
      <c r="G135" s="132"/>
      <c r="H135" s="133"/>
      <c r="I135" s="133"/>
      <c r="J135" s="133"/>
      <c r="K135" s="133"/>
      <c r="L135" s="133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8.0" customHeight="1">
      <c r="A136" s="114"/>
      <c r="B136" s="114"/>
      <c r="C136" s="114"/>
      <c r="D136" s="114"/>
      <c r="E136" s="114"/>
      <c r="F136" s="131"/>
      <c r="G136" s="132"/>
      <c r="H136" s="133"/>
      <c r="I136" s="133"/>
      <c r="J136" s="133"/>
      <c r="K136" s="133"/>
      <c r="L136" s="133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8.0" customHeight="1">
      <c r="A137" s="107"/>
      <c r="B137" s="107"/>
      <c r="C137" s="107"/>
      <c r="D137" s="107"/>
      <c r="E137" s="107"/>
      <c r="F137" s="134"/>
      <c r="G137" s="135"/>
      <c r="H137" s="136"/>
      <c r="I137" s="136"/>
      <c r="J137" s="136"/>
      <c r="K137" s="136"/>
      <c r="L137" s="136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8.0" customHeight="1">
      <c r="A138" s="114"/>
      <c r="B138" s="114"/>
      <c r="C138" s="114"/>
      <c r="D138" s="114"/>
      <c r="E138" s="114"/>
      <c r="F138" s="131"/>
      <c r="G138" s="132"/>
      <c r="H138" s="133"/>
      <c r="I138" s="133"/>
      <c r="J138" s="133"/>
      <c r="K138" s="133"/>
      <c r="L138" s="133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8.0" customHeight="1">
      <c r="A139" s="114"/>
      <c r="B139" s="114"/>
      <c r="C139" s="114"/>
      <c r="D139" s="114"/>
      <c r="E139" s="114"/>
      <c r="F139" s="131"/>
      <c r="G139" s="132"/>
      <c r="H139" s="133"/>
      <c r="I139" s="133"/>
      <c r="J139" s="133"/>
      <c r="K139" s="133"/>
      <c r="L139" s="133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8.0" customHeight="1">
      <c r="A140" s="114"/>
      <c r="B140" s="114"/>
      <c r="C140" s="114"/>
      <c r="D140" s="114"/>
      <c r="E140" s="114"/>
      <c r="F140" s="131"/>
      <c r="G140" s="132"/>
      <c r="H140" s="133"/>
      <c r="I140" s="133"/>
      <c r="J140" s="133"/>
      <c r="K140" s="133"/>
      <c r="L140" s="133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8.0" customHeight="1">
      <c r="A141" s="114"/>
      <c r="B141" s="114"/>
      <c r="C141" s="114"/>
      <c r="D141" s="114"/>
      <c r="E141" s="114"/>
      <c r="F141" s="131"/>
      <c r="G141" s="132"/>
      <c r="H141" s="133"/>
      <c r="I141" s="133"/>
      <c r="J141" s="133"/>
      <c r="K141" s="133"/>
      <c r="L141" s="133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8.0" customHeight="1">
      <c r="A142" s="114"/>
      <c r="B142" s="114"/>
      <c r="C142" s="114"/>
      <c r="D142" s="114"/>
      <c r="E142" s="114"/>
      <c r="F142" s="131"/>
      <c r="G142" s="132"/>
      <c r="H142" s="133"/>
      <c r="I142" s="133"/>
      <c r="J142" s="133"/>
      <c r="K142" s="133"/>
      <c r="L142" s="133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8.0" customHeight="1">
      <c r="A143" s="114"/>
      <c r="B143" s="114"/>
      <c r="C143" s="114"/>
      <c r="D143" s="114"/>
      <c r="E143" s="114"/>
      <c r="F143" s="131"/>
      <c r="G143" s="132"/>
      <c r="H143" s="133"/>
      <c r="I143" s="133"/>
      <c r="J143" s="133"/>
      <c r="K143" s="133"/>
      <c r="L143" s="133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8.0" customHeight="1">
      <c r="A144" s="114"/>
      <c r="B144" s="114"/>
      <c r="C144" s="114"/>
      <c r="D144" s="114"/>
      <c r="E144" s="114"/>
      <c r="F144" s="131"/>
      <c r="G144" s="132"/>
      <c r="H144" s="133"/>
      <c r="I144" s="133"/>
      <c r="J144" s="133"/>
      <c r="K144" s="133"/>
      <c r="L144" s="133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8.0" customHeight="1">
      <c r="A145" s="114"/>
      <c r="B145" s="114"/>
      <c r="C145" s="114"/>
      <c r="D145" s="114"/>
      <c r="E145" s="114"/>
      <c r="F145" s="131"/>
      <c r="G145" s="132"/>
      <c r="H145" s="133"/>
      <c r="I145" s="133"/>
      <c r="J145" s="133"/>
      <c r="K145" s="133"/>
      <c r="L145" s="133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8.0" customHeight="1">
      <c r="A146" s="107"/>
      <c r="B146" s="107"/>
      <c r="C146" s="107"/>
      <c r="D146" s="107"/>
      <c r="E146" s="107"/>
      <c r="F146" s="134"/>
      <c r="G146" s="135"/>
      <c r="H146" s="136"/>
      <c r="I146" s="136"/>
      <c r="J146" s="136"/>
      <c r="K146" s="136"/>
      <c r="L146" s="136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8.0" customHeight="1">
      <c r="A147" s="114"/>
      <c r="B147" s="114"/>
      <c r="C147" s="114"/>
      <c r="D147" s="114"/>
      <c r="E147" s="114"/>
      <c r="F147" s="131"/>
      <c r="G147" s="132"/>
      <c r="H147" s="133"/>
      <c r="I147" s="133"/>
      <c r="J147" s="133"/>
      <c r="K147" s="133"/>
      <c r="L147" s="133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8.0" customHeight="1">
      <c r="A148" s="114"/>
      <c r="B148" s="114"/>
      <c r="C148" s="114"/>
      <c r="D148" s="114"/>
      <c r="E148" s="114"/>
      <c r="F148" s="131"/>
      <c r="G148" s="132"/>
      <c r="H148" s="133"/>
      <c r="I148" s="133"/>
      <c r="J148" s="133"/>
      <c r="K148" s="133"/>
      <c r="L148" s="133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8.0" customHeight="1">
      <c r="A149" s="114"/>
      <c r="B149" s="114"/>
      <c r="C149" s="114"/>
      <c r="D149" s="114"/>
      <c r="E149" s="114"/>
      <c r="F149" s="131"/>
      <c r="G149" s="132"/>
      <c r="H149" s="133"/>
      <c r="I149" s="133"/>
      <c r="J149" s="133"/>
      <c r="K149" s="133"/>
      <c r="L149" s="133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8.0" customHeight="1">
      <c r="A150" s="114"/>
      <c r="B150" s="114"/>
      <c r="C150" s="114"/>
      <c r="D150" s="114"/>
      <c r="E150" s="114"/>
      <c r="F150" s="131"/>
      <c r="G150" s="132"/>
      <c r="H150" s="133"/>
      <c r="I150" s="133"/>
      <c r="J150" s="133"/>
      <c r="K150" s="133"/>
      <c r="L150" s="133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8.0" customHeight="1">
      <c r="A151" s="114"/>
      <c r="B151" s="114"/>
      <c r="C151" s="114"/>
      <c r="D151" s="114"/>
      <c r="E151" s="114"/>
      <c r="F151" s="131"/>
      <c r="G151" s="132"/>
      <c r="H151" s="133"/>
      <c r="I151" s="133"/>
      <c r="J151" s="133"/>
      <c r="K151" s="133"/>
      <c r="L151" s="133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8.0" customHeight="1">
      <c r="A152" s="114"/>
      <c r="B152" s="114"/>
      <c r="C152" s="114"/>
      <c r="D152" s="114"/>
      <c r="E152" s="114"/>
      <c r="F152" s="131"/>
      <c r="G152" s="132"/>
      <c r="H152" s="133"/>
      <c r="I152" s="133"/>
      <c r="J152" s="133"/>
      <c r="K152" s="133"/>
      <c r="L152" s="133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8.0" customHeight="1">
      <c r="A153" s="107"/>
      <c r="B153" s="107"/>
      <c r="C153" s="107"/>
      <c r="D153" s="107"/>
      <c r="E153" s="107"/>
      <c r="F153" s="134"/>
      <c r="G153" s="135"/>
      <c r="H153" s="136"/>
      <c r="I153" s="136"/>
      <c r="J153" s="136"/>
      <c r="K153" s="136"/>
      <c r="L153" s="136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8.0" customHeight="1">
      <c r="A154" s="114"/>
      <c r="B154" s="114"/>
      <c r="C154" s="114"/>
      <c r="D154" s="114"/>
      <c r="E154" s="114"/>
      <c r="F154" s="131"/>
      <c r="G154" s="132"/>
      <c r="H154" s="133"/>
      <c r="I154" s="133"/>
      <c r="J154" s="133"/>
      <c r="K154" s="133"/>
      <c r="L154" s="133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8.0" customHeight="1">
      <c r="A155" s="114"/>
      <c r="B155" s="114"/>
      <c r="C155" s="114"/>
      <c r="D155" s="114"/>
      <c r="E155" s="114"/>
      <c r="F155" s="131"/>
      <c r="G155" s="132"/>
      <c r="H155" s="133"/>
      <c r="I155" s="133"/>
      <c r="J155" s="133"/>
      <c r="K155" s="133"/>
      <c r="L155" s="133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8.0" customHeight="1">
      <c r="A156" s="114"/>
      <c r="B156" s="114"/>
      <c r="C156" s="114"/>
      <c r="D156" s="114"/>
      <c r="E156" s="114"/>
      <c r="F156" s="131"/>
      <c r="G156" s="132"/>
      <c r="H156" s="133"/>
      <c r="I156" s="133"/>
      <c r="J156" s="133"/>
      <c r="K156" s="133"/>
      <c r="L156" s="133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8.0" customHeight="1">
      <c r="A157" s="114"/>
      <c r="B157" s="114"/>
      <c r="C157" s="114"/>
      <c r="D157" s="114"/>
      <c r="E157" s="114"/>
      <c r="F157" s="131"/>
      <c r="G157" s="132"/>
      <c r="H157" s="133"/>
      <c r="I157" s="133"/>
      <c r="J157" s="133"/>
      <c r="K157" s="133"/>
      <c r="L157" s="133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8.0" customHeight="1">
      <c r="A158" s="114"/>
      <c r="B158" s="114"/>
      <c r="C158" s="114"/>
      <c r="D158" s="114"/>
      <c r="E158" s="114"/>
      <c r="F158" s="131"/>
      <c r="G158" s="132"/>
      <c r="H158" s="133"/>
      <c r="I158" s="133"/>
      <c r="J158" s="133"/>
      <c r="K158" s="133"/>
      <c r="L158" s="133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8.0" customHeight="1">
      <c r="A159" s="114"/>
      <c r="B159" s="114"/>
      <c r="C159" s="114"/>
      <c r="D159" s="114"/>
      <c r="E159" s="114"/>
      <c r="F159" s="131"/>
      <c r="G159" s="132"/>
      <c r="H159" s="133"/>
      <c r="I159" s="133"/>
      <c r="J159" s="133"/>
      <c r="K159" s="133"/>
      <c r="L159" s="133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8.0" customHeight="1">
      <c r="A160" s="114"/>
      <c r="B160" s="114"/>
      <c r="C160" s="114"/>
      <c r="D160" s="114"/>
      <c r="E160" s="114"/>
      <c r="F160" s="131"/>
      <c r="G160" s="132"/>
      <c r="H160" s="133"/>
      <c r="I160" s="133"/>
      <c r="J160" s="133"/>
      <c r="K160" s="133"/>
      <c r="L160" s="133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8.0" customHeight="1">
      <c r="A161" s="114"/>
      <c r="B161" s="114"/>
      <c r="C161" s="114"/>
      <c r="D161" s="114"/>
      <c r="E161" s="114"/>
      <c r="F161" s="131"/>
      <c r="G161" s="132"/>
      <c r="H161" s="133"/>
      <c r="I161" s="133"/>
      <c r="J161" s="133"/>
      <c r="K161" s="133"/>
      <c r="L161" s="133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8.0" customHeight="1">
      <c r="A162" s="107"/>
      <c r="B162" s="107"/>
      <c r="C162" s="107"/>
      <c r="D162" s="107"/>
      <c r="E162" s="107"/>
      <c r="F162" s="134"/>
      <c r="G162" s="135"/>
      <c r="H162" s="136"/>
      <c r="I162" s="136"/>
      <c r="J162" s="136"/>
      <c r="K162" s="136"/>
      <c r="L162" s="136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8.0" customHeight="1">
      <c r="A163" s="107"/>
      <c r="B163" s="107"/>
      <c r="C163" s="107"/>
      <c r="D163" s="107"/>
      <c r="E163" s="107"/>
      <c r="F163" s="134"/>
      <c r="G163" s="135"/>
      <c r="H163" s="136"/>
      <c r="I163" s="136"/>
      <c r="J163" s="136"/>
      <c r="K163" s="136"/>
      <c r="L163" s="136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8.0" customHeight="1">
      <c r="A164" s="107"/>
      <c r="B164" s="107"/>
      <c r="C164" s="107"/>
      <c r="D164" s="107"/>
      <c r="E164" s="107"/>
      <c r="F164" s="134"/>
      <c r="G164" s="135"/>
      <c r="H164" s="136"/>
      <c r="I164" s="136"/>
      <c r="J164" s="136"/>
      <c r="K164" s="136"/>
      <c r="L164" s="136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8.0" customHeight="1">
      <c r="A165" s="137"/>
      <c r="B165" s="114"/>
      <c r="C165" s="114"/>
      <c r="D165" s="114"/>
      <c r="E165" s="138"/>
      <c r="F165" s="131"/>
      <c r="G165" s="132"/>
      <c r="H165" s="133"/>
      <c r="I165" s="133"/>
      <c r="J165" s="133"/>
      <c r="K165" s="133"/>
      <c r="L165" s="133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8.0" customHeight="1">
      <c r="A166" s="137"/>
      <c r="B166" s="114"/>
      <c r="C166" s="114"/>
      <c r="D166" s="114"/>
      <c r="E166" s="138"/>
      <c r="F166" s="131"/>
      <c r="G166" s="132"/>
      <c r="H166" s="133"/>
      <c r="I166" s="133"/>
      <c r="J166" s="133"/>
      <c r="K166" s="133"/>
      <c r="L166" s="133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8.0" customHeight="1">
      <c r="A167" s="137"/>
      <c r="B167" s="114"/>
      <c r="C167" s="114"/>
      <c r="D167" s="114"/>
      <c r="E167" s="138"/>
      <c r="F167" s="131"/>
      <c r="G167" s="132"/>
      <c r="H167" s="133"/>
      <c r="I167" s="133"/>
      <c r="J167" s="133"/>
      <c r="K167" s="133"/>
      <c r="L167" s="133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8.0" customHeight="1">
      <c r="A168" s="137"/>
      <c r="B168" s="114"/>
      <c r="C168" s="114"/>
      <c r="D168" s="114"/>
      <c r="E168" s="138"/>
      <c r="F168" s="131"/>
      <c r="G168" s="132"/>
      <c r="H168" s="133"/>
      <c r="I168" s="133"/>
      <c r="J168" s="133"/>
      <c r="K168" s="133"/>
      <c r="L168" s="133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8.0" customHeight="1">
      <c r="A169" s="137"/>
      <c r="B169" s="114"/>
      <c r="C169" s="114"/>
      <c r="D169" s="114"/>
      <c r="E169" s="138"/>
      <c r="F169" s="131"/>
      <c r="G169" s="132"/>
      <c r="H169" s="133"/>
      <c r="I169" s="133"/>
      <c r="J169" s="133"/>
      <c r="K169" s="133"/>
      <c r="L169" s="133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8.0" customHeight="1">
      <c r="A170" s="137"/>
      <c r="B170" s="114"/>
      <c r="C170" s="114"/>
      <c r="D170" s="114"/>
      <c r="E170" s="138"/>
      <c r="F170" s="131"/>
      <c r="G170" s="132"/>
      <c r="H170" s="133"/>
      <c r="I170" s="133"/>
      <c r="J170" s="133"/>
      <c r="K170" s="133"/>
      <c r="L170" s="133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8.0" customHeight="1">
      <c r="A171" s="137"/>
      <c r="B171" s="114"/>
      <c r="C171" s="114"/>
      <c r="D171" s="114"/>
      <c r="E171" s="138"/>
      <c r="F171" s="131"/>
      <c r="G171" s="132"/>
      <c r="H171" s="133"/>
      <c r="I171" s="133"/>
      <c r="J171" s="133"/>
      <c r="K171" s="133"/>
      <c r="L171" s="133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8.0" customHeight="1">
      <c r="A172" s="137"/>
      <c r="B172" s="114"/>
      <c r="C172" s="114"/>
      <c r="D172" s="114"/>
      <c r="E172" s="138"/>
      <c r="F172" s="131"/>
      <c r="G172" s="132"/>
      <c r="H172" s="133"/>
      <c r="I172" s="133"/>
      <c r="J172" s="133"/>
      <c r="K172" s="133"/>
      <c r="L172" s="133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8.0" customHeight="1">
      <c r="A173" s="137"/>
      <c r="B173" s="114"/>
      <c r="C173" s="114"/>
      <c r="D173" s="114"/>
      <c r="E173" s="138"/>
      <c r="F173" s="131"/>
      <c r="G173" s="132"/>
      <c r="H173" s="133"/>
      <c r="I173" s="133"/>
      <c r="J173" s="133"/>
      <c r="K173" s="133"/>
      <c r="L173" s="133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8.0" customHeight="1">
      <c r="A174" s="137"/>
      <c r="B174" s="114"/>
      <c r="C174" s="114"/>
      <c r="D174" s="114"/>
      <c r="E174" s="138"/>
      <c r="F174" s="131"/>
      <c r="G174" s="132"/>
      <c r="H174" s="133"/>
      <c r="I174" s="133"/>
      <c r="J174" s="133"/>
      <c r="K174" s="133"/>
      <c r="L174" s="133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8.0" customHeight="1">
      <c r="A175" s="137"/>
      <c r="B175" s="114"/>
      <c r="C175" s="114"/>
      <c r="D175" s="114"/>
      <c r="E175" s="138"/>
      <c r="F175" s="131"/>
      <c r="G175" s="132"/>
      <c r="H175" s="133"/>
      <c r="I175" s="133"/>
      <c r="J175" s="133"/>
      <c r="K175" s="133"/>
      <c r="L175" s="133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8.0" customHeight="1">
      <c r="A176" s="137"/>
      <c r="B176" s="114"/>
      <c r="C176" s="114"/>
      <c r="D176" s="114"/>
      <c r="E176" s="138"/>
      <c r="F176" s="131"/>
      <c r="G176" s="132"/>
      <c r="H176" s="133"/>
      <c r="I176" s="133"/>
      <c r="J176" s="133"/>
      <c r="K176" s="133"/>
      <c r="L176" s="133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8.0" customHeight="1">
      <c r="A177" s="137"/>
      <c r="B177" s="114"/>
      <c r="C177" s="114"/>
      <c r="D177" s="114"/>
      <c r="E177" s="138"/>
      <c r="F177" s="131"/>
      <c r="G177" s="132"/>
      <c r="H177" s="133"/>
      <c r="I177" s="133"/>
      <c r="J177" s="133"/>
      <c r="K177" s="133"/>
      <c r="L177" s="133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8.0" customHeight="1">
      <c r="A178" s="137"/>
      <c r="B178" s="114"/>
      <c r="C178" s="114"/>
      <c r="D178" s="114"/>
      <c r="E178" s="138"/>
      <c r="F178" s="131"/>
      <c r="G178" s="132"/>
      <c r="H178" s="133"/>
      <c r="I178" s="133"/>
      <c r="J178" s="133"/>
      <c r="K178" s="133"/>
      <c r="L178" s="133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8.0" customHeight="1">
      <c r="A179" s="137"/>
      <c r="B179" s="114"/>
      <c r="C179" s="114"/>
      <c r="D179" s="114"/>
      <c r="E179" s="138"/>
      <c r="F179" s="131"/>
      <c r="G179" s="132"/>
      <c r="H179" s="133"/>
      <c r="I179" s="133"/>
      <c r="J179" s="133"/>
      <c r="K179" s="133"/>
      <c r="L179" s="133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8.0" customHeight="1">
      <c r="A180" s="137"/>
      <c r="B180" s="114"/>
      <c r="C180" s="114"/>
      <c r="D180" s="114"/>
      <c r="E180" s="138"/>
      <c r="F180" s="131"/>
      <c r="G180" s="132"/>
      <c r="H180" s="133"/>
      <c r="I180" s="133"/>
      <c r="J180" s="133"/>
      <c r="K180" s="133"/>
      <c r="L180" s="133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8.0" customHeight="1">
      <c r="A181" s="137"/>
      <c r="B181" s="114"/>
      <c r="C181" s="114"/>
      <c r="D181" s="114"/>
      <c r="E181" s="138"/>
      <c r="F181" s="131"/>
      <c r="G181" s="132"/>
      <c r="H181" s="133"/>
      <c r="I181" s="133"/>
      <c r="J181" s="133"/>
      <c r="K181" s="133"/>
      <c r="L181" s="133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8.0" customHeight="1">
      <c r="A182" s="137"/>
      <c r="B182" s="114"/>
      <c r="C182" s="114"/>
      <c r="D182" s="114"/>
      <c r="E182" s="138"/>
      <c r="F182" s="131"/>
      <c r="G182" s="132"/>
      <c r="H182" s="133"/>
      <c r="I182" s="133"/>
      <c r="J182" s="133"/>
      <c r="K182" s="133"/>
      <c r="L182" s="133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8.0" customHeight="1">
      <c r="A183" s="137"/>
      <c r="B183" s="114"/>
      <c r="C183" s="114"/>
      <c r="D183" s="114"/>
      <c r="E183" s="138"/>
      <c r="F183" s="131"/>
      <c r="G183" s="132"/>
      <c r="H183" s="133"/>
      <c r="I183" s="133"/>
      <c r="J183" s="133"/>
      <c r="K183" s="133"/>
      <c r="L183" s="133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8.0" customHeight="1">
      <c r="A184" s="137"/>
      <c r="B184" s="114"/>
      <c r="C184" s="114"/>
      <c r="D184" s="114"/>
      <c r="E184" s="138"/>
      <c r="F184" s="131"/>
      <c r="G184" s="132"/>
      <c r="H184" s="133"/>
      <c r="I184" s="133"/>
      <c r="J184" s="133"/>
      <c r="K184" s="133"/>
      <c r="L184" s="133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8.0" customHeight="1">
      <c r="A185" s="137"/>
      <c r="B185" s="114"/>
      <c r="C185" s="114"/>
      <c r="D185" s="114"/>
      <c r="E185" s="138"/>
      <c r="F185" s="131"/>
      <c r="G185" s="132"/>
      <c r="H185" s="133"/>
      <c r="I185" s="133"/>
      <c r="J185" s="133"/>
      <c r="K185" s="133"/>
      <c r="L185" s="133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8.0" customHeight="1">
      <c r="A186" s="137"/>
      <c r="B186" s="114"/>
      <c r="C186" s="114"/>
      <c r="D186" s="114"/>
      <c r="E186" s="138"/>
      <c r="F186" s="131"/>
      <c r="G186" s="132"/>
      <c r="H186" s="133"/>
      <c r="I186" s="133"/>
      <c r="J186" s="133"/>
      <c r="K186" s="133"/>
      <c r="L186" s="133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8.0" customHeight="1">
      <c r="A187" s="137"/>
      <c r="B187" s="114"/>
      <c r="C187" s="114"/>
      <c r="D187" s="114"/>
      <c r="E187" s="138"/>
      <c r="F187" s="131"/>
      <c r="G187" s="132"/>
      <c r="H187" s="133"/>
      <c r="I187" s="133"/>
      <c r="J187" s="133"/>
      <c r="K187" s="133"/>
      <c r="L187" s="133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8.0" customHeight="1">
      <c r="A188" s="137"/>
      <c r="B188" s="114"/>
      <c r="C188" s="114"/>
      <c r="D188" s="114"/>
      <c r="E188" s="138"/>
      <c r="F188" s="131"/>
      <c r="G188" s="132"/>
      <c r="H188" s="133"/>
      <c r="I188" s="133"/>
      <c r="J188" s="133"/>
      <c r="K188" s="133"/>
      <c r="L188" s="133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8.0" customHeight="1">
      <c r="A189" s="137"/>
      <c r="B189" s="114"/>
      <c r="C189" s="114"/>
      <c r="D189" s="114"/>
      <c r="E189" s="138"/>
      <c r="F189" s="131"/>
      <c r="G189" s="132"/>
      <c r="H189" s="133"/>
      <c r="I189" s="133"/>
      <c r="J189" s="133"/>
      <c r="K189" s="133"/>
      <c r="L189" s="133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8.0" customHeight="1">
      <c r="A190" s="137"/>
      <c r="B190" s="114"/>
      <c r="C190" s="114"/>
      <c r="D190" s="114"/>
      <c r="E190" s="138"/>
      <c r="F190" s="131"/>
      <c r="G190" s="132"/>
      <c r="H190" s="133"/>
      <c r="I190" s="133"/>
      <c r="J190" s="133"/>
      <c r="K190" s="133"/>
      <c r="L190" s="133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8.0" customHeight="1">
      <c r="A191" s="137"/>
      <c r="B191" s="114"/>
      <c r="C191" s="114"/>
      <c r="D191" s="114"/>
      <c r="E191" s="138"/>
      <c r="F191" s="131"/>
      <c r="G191" s="132"/>
      <c r="H191" s="133"/>
      <c r="I191" s="133"/>
      <c r="J191" s="133"/>
      <c r="K191" s="133"/>
      <c r="L191" s="133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8.0" customHeight="1">
      <c r="A192" s="137"/>
      <c r="B192" s="114"/>
      <c r="C192" s="114"/>
      <c r="D192" s="114"/>
      <c r="E192" s="138"/>
      <c r="F192" s="131"/>
      <c r="G192" s="132"/>
      <c r="H192" s="133"/>
      <c r="I192" s="133"/>
      <c r="J192" s="133"/>
      <c r="K192" s="133"/>
      <c r="L192" s="133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8.0" customHeight="1">
      <c r="A193" s="137"/>
      <c r="B193" s="114"/>
      <c r="C193" s="114"/>
      <c r="D193" s="114"/>
      <c r="E193" s="138"/>
      <c r="F193" s="131"/>
      <c r="G193" s="132"/>
      <c r="H193" s="133"/>
      <c r="I193" s="133"/>
      <c r="J193" s="133"/>
      <c r="K193" s="133"/>
      <c r="L193" s="133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8.0" customHeight="1">
      <c r="A194" s="137"/>
      <c r="B194" s="114"/>
      <c r="C194" s="114"/>
      <c r="D194" s="114"/>
      <c r="E194" s="138"/>
      <c r="F194" s="131"/>
      <c r="G194" s="132"/>
      <c r="H194" s="133"/>
      <c r="I194" s="133"/>
      <c r="J194" s="133"/>
      <c r="K194" s="133"/>
      <c r="L194" s="133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8.0" customHeight="1">
      <c r="A195" s="137"/>
      <c r="B195" s="114"/>
      <c r="C195" s="114"/>
      <c r="D195" s="114"/>
      <c r="E195" s="138"/>
      <c r="F195" s="131"/>
      <c r="G195" s="132"/>
      <c r="H195" s="133"/>
      <c r="I195" s="133"/>
      <c r="J195" s="133"/>
      <c r="K195" s="133"/>
      <c r="L195" s="133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8.0" customHeight="1">
      <c r="A196" s="137"/>
      <c r="B196" s="114"/>
      <c r="C196" s="114"/>
      <c r="D196" s="114"/>
      <c r="E196" s="138"/>
      <c r="F196" s="131"/>
      <c r="G196" s="132"/>
      <c r="H196" s="133"/>
      <c r="I196" s="133"/>
      <c r="J196" s="133"/>
      <c r="K196" s="133"/>
      <c r="L196" s="133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8.0" customHeight="1">
      <c r="A197" s="137"/>
      <c r="B197" s="114"/>
      <c r="C197" s="114"/>
      <c r="D197" s="114"/>
      <c r="E197" s="138"/>
      <c r="F197" s="131"/>
      <c r="G197" s="132"/>
      <c r="H197" s="133"/>
      <c r="I197" s="133"/>
      <c r="J197" s="133"/>
      <c r="K197" s="133"/>
      <c r="L197" s="133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8.0" customHeight="1">
      <c r="A198" s="137"/>
      <c r="B198" s="114"/>
      <c r="C198" s="114"/>
      <c r="D198" s="114"/>
      <c r="E198" s="138"/>
      <c r="F198" s="131"/>
      <c r="G198" s="132"/>
      <c r="H198" s="133"/>
      <c r="I198" s="133"/>
      <c r="J198" s="133"/>
      <c r="K198" s="133"/>
      <c r="L198" s="133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8.0" customHeight="1">
      <c r="A199" s="137"/>
      <c r="B199" s="114"/>
      <c r="C199" s="114"/>
      <c r="D199" s="114"/>
      <c r="E199" s="138"/>
      <c r="F199" s="131"/>
      <c r="G199" s="132"/>
      <c r="H199" s="133"/>
      <c r="I199" s="133"/>
      <c r="J199" s="133"/>
      <c r="K199" s="133"/>
      <c r="L199" s="133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8.0" customHeight="1">
      <c r="A200" s="137"/>
      <c r="B200" s="114"/>
      <c r="C200" s="114"/>
      <c r="D200" s="114"/>
      <c r="E200" s="138"/>
      <c r="F200" s="131"/>
      <c r="G200" s="132"/>
      <c r="H200" s="133"/>
      <c r="I200" s="133"/>
      <c r="J200" s="133"/>
      <c r="K200" s="133"/>
      <c r="L200" s="133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8.0" customHeight="1">
      <c r="A201" s="137"/>
      <c r="B201" s="114"/>
      <c r="C201" s="114"/>
      <c r="D201" s="114"/>
      <c r="E201" s="138"/>
      <c r="F201" s="131"/>
      <c r="G201" s="132"/>
      <c r="H201" s="133"/>
      <c r="I201" s="133"/>
      <c r="J201" s="133"/>
      <c r="K201" s="133"/>
      <c r="L201" s="133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8.0" customHeight="1">
      <c r="A202" s="137"/>
      <c r="B202" s="114"/>
      <c r="C202" s="114"/>
      <c r="D202" s="114"/>
      <c r="E202" s="138"/>
      <c r="F202" s="131"/>
      <c r="G202" s="132"/>
      <c r="H202" s="133"/>
      <c r="I202" s="133"/>
      <c r="J202" s="133"/>
      <c r="K202" s="133"/>
      <c r="L202" s="133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8.0" customHeight="1">
      <c r="A203" s="137"/>
      <c r="B203" s="114"/>
      <c r="C203" s="114"/>
      <c r="D203" s="114"/>
      <c r="E203" s="138"/>
      <c r="F203" s="131"/>
      <c r="G203" s="132"/>
      <c r="H203" s="133"/>
      <c r="I203" s="133"/>
      <c r="J203" s="133"/>
      <c r="K203" s="133"/>
      <c r="L203" s="133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8.0" customHeight="1">
      <c r="A204" s="137"/>
      <c r="B204" s="114"/>
      <c r="C204" s="114"/>
      <c r="D204" s="114"/>
      <c r="E204" s="138"/>
      <c r="F204" s="131"/>
      <c r="G204" s="132"/>
      <c r="H204" s="133"/>
      <c r="I204" s="133"/>
      <c r="J204" s="133"/>
      <c r="K204" s="133"/>
      <c r="L204" s="133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8.0" customHeight="1">
      <c r="A205" s="137"/>
      <c r="B205" s="114"/>
      <c r="C205" s="114"/>
      <c r="D205" s="114"/>
      <c r="E205" s="138"/>
      <c r="F205" s="131"/>
      <c r="G205" s="132"/>
      <c r="H205" s="133"/>
      <c r="I205" s="133"/>
      <c r="J205" s="133"/>
      <c r="K205" s="133"/>
      <c r="L205" s="133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8.0" customHeight="1">
      <c r="A206" s="137"/>
      <c r="B206" s="114"/>
      <c r="C206" s="114"/>
      <c r="D206" s="114"/>
      <c r="E206" s="138"/>
      <c r="F206" s="131"/>
      <c r="G206" s="132"/>
      <c r="H206" s="133"/>
      <c r="I206" s="133"/>
      <c r="J206" s="133"/>
      <c r="K206" s="133"/>
      <c r="L206" s="133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8.0" customHeight="1">
      <c r="A207" s="137"/>
      <c r="B207" s="114"/>
      <c r="C207" s="114"/>
      <c r="D207" s="114"/>
      <c r="E207" s="138"/>
      <c r="F207" s="131"/>
      <c r="G207" s="132"/>
      <c r="H207" s="133"/>
      <c r="I207" s="133"/>
      <c r="J207" s="133"/>
      <c r="K207" s="133"/>
      <c r="L207" s="133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8.0" customHeight="1">
      <c r="A208" s="137"/>
      <c r="B208" s="114"/>
      <c r="C208" s="114"/>
      <c r="D208" s="114"/>
      <c r="E208" s="138"/>
      <c r="F208" s="131"/>
      <c r="G208" s="132"/>
      <c r="H208" s="133"/>
      <c r="I208" s="133"/>
      <c r="J208" s="133"/>
      <c r="K208" s="133"/>
      <c r="L208" s="133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8.0" customHeight="1">
      <c r="A209" s="137"/>
      <c r="B209" s="114"/>
      <c r="C209" s="114"/>
      <c r="D209" s="114"/>
      <c r="E209" s="138"/>
      <c r="F209" s="131"/>
      <c r="G209" s="132"/>
      <c r="H209" s="133"/>
      <c r="I209" s="133"/>
      <c r="J209" s="133"/>
      <c r="K209" s="133"/>
      <c r="L209" s="133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8.0" customHeight="1">
      <c r="A210" s="137"/>
      <c r="B210" s="114"/>
      <c r="C210" s="114"/>
      <c r="D210" s="114"/>
      <c r="E210" s="138"/>
      <c r="F210" s="131"/>
      <c r="G210" s="132"/>
      <c r="H210" s="133"/>
      <c r="I210" s="133"/>
      <c r="J210" s="133"/>
      <c r="K210" s="133"/>
      <c r="L210" s="133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8.0" customHeight="1">
      <c r="A211" s="137"/>
      <c r="B211" s="114"/>
      <c r="C211" s="114"/>
      <c r="D211" s="114"/>
      <c r="E211" s="138"/>
      <c r="F211" s="131"/>
      <c r="G211" s="132"/>
      <c r="H211" s="133"/>
      <c r="I211" s="133"/>
      <c r="J211" s="133"/>
      <c r="K211" s="133"/>
      <c r="L211" s="133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8.0" customHeight="1">
      <c r="A212" s="137"/>
      <c r="B212" s="114"/>
      <c r="C212" s="114"/>
      <c r="D212" s="114"/>
      <c r="E212" s="138"/>
      <c r="F212" s="131"/>
      <c r="G212" s="132"/>
      <c r="H212" s="133"/>
      <c r="I212" s="133"/>
      <c r="J212" s="133"/>
      <c r="K212" s="133"/>
      <c r="L212" s="133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8.0" customHeight="1">
      <c r="A213" s="137"/>
      <c r="B213" s="114"/>
      <c r="C213" s="114"/>
      <c r="D213" s="114"/>
      <c r="E213" s="138"/>
      <c r="F213" s="131"/>
      <c r="G213" s="132"/>
      <c r="H213" s="133"/>
      <c r="I213" s="133"/>
      <c r="J213" s="133"/>
      <c r="K213" s="133"/>
      <c r="L213" s="133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8.0" customHeight="1">
      <c r="A214" s="137"/>
      <c r="B214" s="114"/>
      <c r="C214" s="114"/>
      <c r="D214" s="114"/>
      <c r="E214" s="138"/>
      <c r="F214" s="131"/>
      <c r="G214" s="132"/>
      <c r="H214" s="133"/>
      <c r="I214" s="133"/>
      <c r="J214" s="133"/>
      <c r="K214" s="133"/>
      <c r="L214" s="133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8.0" customHeight="1">
      <c r="A215" s="137"/>
      <c r="B215" s="114"/>
      <c r="C215" s="114"/>
      <c r="D215" s="114"/>
      <c r="E215" s="138"/>
      <c r="F215" s="131"/>
      <c r="G215" s="132"/>
      <c r="H215" s="133"/>
      <c r="I215" s="133"/>
      <c r="J215" s="133"/>
      <c r="K215" s="133"/>
      <c r="L215" s="133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8.0" customHeight="1">
      <c r="A216" s="137"/>
      <c r="B216" s="114"/>
      <c r="C216" s="114"/>
      <c r="D216" s="114"/>
      <c r="E216" s="138"/>
      <c r="F216" s="131"/>
      <c r="G216" s="132"/>
      <c r="H216" s="133"/>
      <c r="I216" s="133"/>
      <c r="J216" s="133"/>
      <c r="K216" s="133"/>
      <c r="L216" s="133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8.0" customHeight="1">
      <c r="A217" s="137"/>
      <c r="B217" s="114"/>
      <c r="C217" s="114"/>
      <c r="D217" s="114"/>
      <c r="E217" s="138"/>
      <c r="F217" s="131"/>
      <c r="G217" s="132"/>
      <c r="H217" s="133"/>
      <c r="I217" s="133"/>
      <c r="J217" s="133"/>
      <c r="K217" s="133"/>
      <c r="L217" s="133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8.0" customHeight="1">
      <c r="A218" s="137"/>
      <c r="B218" s="114"/>
      <c r="C218" s="114"/>
      <c r="D218" s="114"/>
      <c r="E218" s="138"/>
      <c r="F218" s="131"/>
      <c r="G218" s="132"/>
      <c r="H218" s="133"/>
      <c r="I218" s="133"/>
      <c r="J218" s="133"/>
      <c r="K218" s="133"/>
      <c r="L218" s="133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8.0" customHeight="1">
      <c r="A219" s="137"/>
      <c r="B219" s="114"/>
      <c r="C219" s="114"/>
      <c r="D219" s="114"/>
      <c r="E219" s="138"/>
      <c r="F219" s="131"/>
      <c r="G219" s="132"/>
      <c r="H219" s="133"/>
      <c r="I219" s="133"/>
      <c r="J219" s="133"/>
      <c r="K219" s="133"/>
      <c r="L219" s="133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8.0" customHeight="1">
      <c r="A220" s="137"/>
      <c r="B220" s="114"/>
      <c r="C220" s="114"/>
      <c r="D220" s="114"/>
      <c r="E220" s="138"/>
      <c r="F220" s="131"/>
      <c r="G220" s="132"/>
      <c r="H220" s="133"/>
      <c r="I220" s="133"/>
      <c r="J220" s="133"/>
      <c r="K220" s="133"/>
      <c r="L220" s="133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8.0" customHeight="1">
      <c r="A221" s="137"/>
      <c r="B221" s="114"/>
      <c r="C221" s="114"/>
      <c r="D221" s="114"/>
      <c r="E221" s="138"/>
      <c r="F221" s="131"/>
      <c r="G221" s="132"/>
      <c r="H221" s="133"/>
      <c r="I221" s="133"/>
      <c r="J221" s="133"/>
      <c r="K221" s="133"/>
      <c r="L221" s="133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8.0" customHeight="1">
      <c r="A222" s="137"/>
      <c r="B222" s="114"/>
      <c r="C222" s="114"/>
      <c r="D222" s="114"/>
      <c r="E222" s="138"/>
      <c r="F222" s="131"/>
      <c r="G222" s="132"/>
      <c r="H222" s="133"/>
      <c r="I222" s="133"/>
      <c r="J222" s="133"/>
      <c r="K222" s="133"/>
      <c r="L222" s="133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8.0" customHeight="1">
      <c r="A223" s="137"/>
      <c r="B223" s="114"/>
      <c r="C223" s="114"/>
      <c r="D223" s="114"/>
      <c r="E223" s="138"/>
      <c r="F223" s="131"/>
      <c r="G223" s="132"/>
      <c r="H223" s="133"/>
      <c r="I223" s="133"/>
      <c r="J223" s="133"/>
      <c r="K223" s="133"/>
      <c r="L223" s="133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8.0" customHeight="1">
      <c r="A224" s="137"/>
      <c r="B224" s="114"/>
      <c r="C224" s="114"/>
      <c r="D224" s="114"/>
      <c r="E224" s="138"/>
      <c r="F224" s="131"/>
      <c r="G224" s="132"/>
      <c r="H224" s="133"/>
      <c r="I224" s="133"/>
      <c r="J224" s="133"/>
      <c r="K224" s="133"/>
      <c r="L224" s="133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8.0" customHeight="1">
      <c r="A225" s="137"/>
      <c r="B225" s="114"/>
      <c r="C225" s="114"/>
      <c r="D225" s="114"/>
      <c r="E225" s="138"/>
      <c r="F225" s="131"/>
      <c r="G225" s="132"/>
      <c r="H225" s="133"/>
      <c r="I225" s="133"/>
      <c r="J225" s="133"/>
      <c r="K225" s="133"/>
      <c r="L225" s="133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2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2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2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2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2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2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2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2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2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2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2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2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2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2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2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2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2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2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2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2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2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2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2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2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2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2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2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2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2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2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2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2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2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2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2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2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2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2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2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2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2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2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2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2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2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2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2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2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2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2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2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2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2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2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2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2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2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2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2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2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2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2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2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2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2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2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2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2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2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2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2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2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2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2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2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2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2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2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2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2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2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2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2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2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2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2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2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2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2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2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2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2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2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2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2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2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2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2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2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2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2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2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2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2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2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2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2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2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2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2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2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2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2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2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2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2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2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2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2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2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2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2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2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2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2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2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2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2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2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2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2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2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2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2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2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2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2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2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2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2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2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2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2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2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2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2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2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2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2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2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2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2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2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2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2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2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2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2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2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2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2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2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2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2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2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2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2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2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2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2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2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2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2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2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2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2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2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2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2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2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2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2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2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2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2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2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2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2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2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2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2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2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2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2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2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2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2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2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2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2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2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2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2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2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2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2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2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2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2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2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2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2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2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2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2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2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2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2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2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2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2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2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2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2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2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2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2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2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2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2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2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2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2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2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2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2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2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2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2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2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2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2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2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2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2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2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2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2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2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2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2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2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2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2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2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2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2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2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2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2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2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2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2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2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2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2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2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2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2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2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2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2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2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2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2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2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2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2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2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2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2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2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2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2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2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2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2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2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2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2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2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2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2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2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2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2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2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2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2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2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2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2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2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2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2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2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2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2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2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2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2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2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2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2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2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2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2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2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2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2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2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2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2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2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2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2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2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2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2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2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2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2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2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2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2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2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2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2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2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2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2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2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2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2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2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2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2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2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2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2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2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2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2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2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2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2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2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2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2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2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2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2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2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2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2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2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2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2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2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2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2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2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2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2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2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2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2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2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2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2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2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2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2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2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2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2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2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2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2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2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2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2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2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2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2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2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2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2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2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2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2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2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2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2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2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2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2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2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2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2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2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2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2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2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2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2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2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2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2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2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2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2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2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2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2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2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2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2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2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2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2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2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2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2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2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2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2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2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2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2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2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2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2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2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2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2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2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2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2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2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2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2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2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2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2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2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2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2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2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2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2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2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2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2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2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2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2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2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2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2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2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2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2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2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2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2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2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2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2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2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2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2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2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2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2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2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2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2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2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2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2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2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2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2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2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2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2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2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2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2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2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2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2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2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2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2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2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2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2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2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2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2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2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2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2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2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2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2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2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2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2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2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2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2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2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2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2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2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2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2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2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2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2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2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2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2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2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2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2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2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2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2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2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2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2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2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2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2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2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2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2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2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2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2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2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2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2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2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2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2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2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2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2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2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2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2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2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2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2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2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2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2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2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2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2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2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2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2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2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2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2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2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2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2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2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2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2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2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2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2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2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2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2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2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2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2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2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2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2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2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2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2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2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2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2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2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2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2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2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2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2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2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2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2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2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2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2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2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2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2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2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2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2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2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2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2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2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2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2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2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2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2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2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2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2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2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2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2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2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2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2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2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2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2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2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2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2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2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2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2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2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2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2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2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2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2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2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2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2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2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2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2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2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2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2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2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2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2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2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2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2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2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2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2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2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2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2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2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2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2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2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2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2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2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2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2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2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2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2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2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2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2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2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2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2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2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2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2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2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2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2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2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2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2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2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2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2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2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2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2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2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2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2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2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2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2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2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2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2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2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2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2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2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2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2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2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2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2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2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2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2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2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2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2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2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2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2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2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2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2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2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2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2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2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2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2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2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2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2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2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2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2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2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2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2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2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2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2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2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2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2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2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2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2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2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2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2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2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2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2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2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2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2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2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2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printOptions/>
  <pageMargins bottom="0.43" footer="0.0" header="0.0" left="0.75" right="0.75" top="0.62"/>
  <pageSetup orientation="portrait"/>
  <headerFooter>
    <oddHeader>&amp;CSmith Huston, Inc. Bid Worksheet Phase 2 General Conditions</oddHeader>
    <oddFooter>&amp;L&amp;D &amp;F &amp;A&amp;Rpage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2001-06-23T18:52:43Z</dcterms:created>
  <dc:creator>Steve Smith</dc:creator>
</cp:coreProperties>
</file>